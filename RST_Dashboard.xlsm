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monthly-power-&amp;-energy-logger\"/>
    </mc:Choice>
  </mc:AlternateContent>
  <xr:revisionPtr revIDLastSave="0" documentId="8_{21AA01B3-6FC0-4AE9-9672-5968099D14F3}" xr6:coauthVersionLast="47" xr6:coauthVersionMax="47" xr10:uidLastSave="{00000000-0000-0000-0000-000000000000}"/>
  <bookViews>
    <workbookView xWindow="-108" yWindow="-108" windowWidth="23256" windowHeight="12456" tabRatio="855" activeTab="7" xr2:uid="{00000000-000D-0000-FFFF-FFFF00000000}"/>
  </bookViews>
  <sheets>
    <sheet name="Dashboard-FAC" sheetId="5" r:id="rId1"/>
    <sheet name="Sheet1" sheetId="17" r:id="rId2"/>
    <sheet name="Data Entry" sheetId="15" r:id="rId3"/>
    <sheet name="1. UPS Data Log" sheetId="10" r:id="rId4"/>
    <sheet name="2. Air Energy Consumption Log" sheetId="7" r:id="rId5"/>
    <sheet name="3. DC Data Log" sheetId="14" r:id="rId6"/>
    <sheet name="Month-Pick" sheetId="11" state="hidden" r:id="rId7"/>
    <sheet name="4. Electricity Cost Log" sheetId="6" r:id="rId8"/>
    <sheet name="PPC-Mapping" sheetId="8" r:id="rId9"/>
    <sheet name="Rack Capacity" sheetId="16" r:id="rId10"/>
    <sheet name="month" sheetId="18" state="hidden" r:id="rId11"/>
    <sheet name="Cal-UPS LOAD" sheetId="9" state="hidden" r:id="rId12"/>
  </sheets>
  <definedNames>
    <definedName name="_xlnm._FilterDatabase" localSheetId="9" hidden="1">'Rack Capacity'!$A$9:$P$367</definedName>
    <definedName name="_xleta.XLOOKUP" hidden="1" xlm="1">#NAME?</definedName>
  </definedNames>
  <calcPr calcId="191029"/>
  <pivotCaches>
    <pivotCache cacheId="0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5" l="1" a="1"/>
  <c r="F11" i="5" s="1"/>
  <c r="H16" i="5" l="1" a="1"/>
  <c r="H16" i="5" s="1"/>
  <c r="F16" i="5" a="1"/>
  <c r="F16" i="5" s="1"/>
  <c r="A27" i="15"/>
  <c r="C26" i="5" a="1"/>
  <c r="C26" i="5" s="1"/>
  <c r="C27" i="5" a="1"/>
  <c r="C27" i="5" s="1"/>
  <c r="C28" i="5" a="1"/>
  <c r="C28" i="5" s="1"/>
  <c r="C25" i="5" a="1"/>
  <c r="C25" i="5" s="1"/>
  <c r="B26" i="5" a="1"/>
  <c r="B26" i="5" s="1"/>
  <c r="B27" i="5" a="1"/>
  <c r="B27" i="5" s="1"/>
  <c r="B28" i="5" a="1"/>
  <c r="B28" i="5" s="1"/>
  <c r="B25" i="5" a="1"/>
  <c r="B25" i="5" s="1"/>
  <c r="A23" i="15"/>
  <c r="A22" i="15"/>
  <c r="A21" i="15"/>
  <c r="A20" i="15"/>
  <c r="A6" i="15"/>
  <c r="A5" i="15"/>
  <c r="A11" i="15"/>
  <c r="A10" i="15"/>
  <c r="A9" i="15"/>
  <c r="A8" i="15"/>
  <c r="A7" i="15"/>
  <c r="A16" i="15"/>
  <c r="A20" i="5"/>
  <c r="C20" i="5" s="1"/>
  <c r="H13" i="5" a="1"/>
  <c r="H13" i="5" s="1"/>
  <c r="I12" i="5" l="1" a="1"/>
  <c r="I12" i="5" s="1"/>
  <c r="F17" i="5" a="1"/>
  <c r="F17" i="5" s="1"/>
  <c r="F12" i="5" a="1"/>
  <c r="F12" i="5" s="1"/>
  <c r="H15" i="5" a="1"/>
  <c r="H15" i="5" s="1"/>
  <c r="H12" i="5" a="1"/>
  <c r="H12" i="5" s="1"/>
  <c r="F15" i="5" a="1"/>
  <c r="F15" i="5" s="1"/>
  <c r="F14" i="5" a="1"/>
  <c r="F14" i="5" s="1"/>
  <c r="F13" i="5" a="1"/>
  <c r="F13" i="5" s="1"/>
  <c r="H11" i="5" a="1"/>
  <c r="H11" i="5" s="1"/>
  <c r="H17" i="5" a="1"/>
  <c r="H17" i="5" s="1"/>
  <c r="H14" i="5" a="1"/>
  <c r="H14" i="5" s="1"/>
  <c r="D20" i="5"/>
  <c r="E20" i="5"/>
  <c r="G17" i="5" a="1"/>
  <c r="G17" i="5" s="1"/>
  <c r="G16" i="5" a="1"/>
  <c r="G16" i="5" s="1"/>
  <c r="I16" i="5" a="1"/>
  <c r="I16" i="5" s="1"/>
  <c r="I17" i="5" a="1"/>
  <c r="I17" i="5" s="1"/>
  <c r="G15" i="5" a="1"/>
  <c r="G15" i="5" s="1"/>
  <c r="I15" i="5" a="1"/>
  <c r="I15" i="5" s="1"/>
  <c r="G11" i="5" a="1"/>
  <c r="G11" i="5" s="1"/>
  <c r="G14" i="5" a="1"/>
  <c r="G14" i="5" s="1"/>
  <c r="I14" i="5" a="1"/>
  <c r="I14" i="5" s="1"/>
  <c r="I11" i="5" a="1"/>
  <c r="I11" i="5" s="1"/>
  <c r="G13" i="5" a="1"/>
  <c r="G13" i="5" s="1"/>
  <c r="I13" i="5" a="1"/>
  <c r="I13" i="5" s="1"/>
  <c r="G12" i="5" a="1"/>
  <c r="G12" i="5" s="1"/>
  <c r="B20" i="5"/>
  <c r="A15" i="15" l="1"/>
  <c r="B15" i="15" s="1"/>
  <c r="C2" i="15"/>
  <c r="E15" i="15" l="1"/>
  <c r="D15" i="15"/>
  <c r="C15" i="15"/>
  <c r="H2" i="5"/>
  <c r="A21" i="5" l="1"/>
  <c r="A32" i="5"/>
  <c r="C2" i="11"/>
  <c r="C3" i="11"/>
  <c r="C4" i="11"/>
  <c r="C5" i="11"/>
  <c r="C6" i="11"/>
  <c r="C7" i="11"/>
  <c r="C8" i="11"/>
  <c r="C9" i="11"/>
  <c r="C10" i="11"/>
  <c r="C11" i="11"/>
  <c r="C12" i="11"/>
  <c r="C1" i="11"/>
  <c r="F6" i="9"/>
  <c r="G6" i="9" s="1"/>
  <c r="F5" i="9"/>
  <c r="G5" i="9" s="1"/>
  <c r="H1" i="9"/>
  <c r="H5" i="9" s="1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D21" i="5" l="1"/>
  <c r="C21" i="5"/>
  <c r="B21" i="5"/>
  <c r="E21" i="5"/>
  <c r="E22" i="5" s="1"/>
  <c r="B32" i="5"/>
  <c r="C32" i="5"/>
  <c r="F32" i="5" s="1"/>
  <c r="D26" i="5"/>
  <c r="E26" i="5" s="1"/>
  <c r="F26" i="5" s="1"/>
  <c r="G26" i="5" s="1"/>
  <c r="D27" i="5"/>
  <c r="E27" i="5" s="1"/>
  <c r="F27" i="5" s="1"/>
  <c r="G27" i="5" s="1"/>
  <c r="D28" i="5"/>
  <c r="E28" i="5" s="1"/>
  <c r="F28" i="5" s="1"/>
  <c r="G28" i="5" s="1"/>
  <c r="D25" i="5"/>
  <c r="E25" i="5" s="1"/>
  <c r="F25" i="5" s="1"/>
  <c r="G25" i="5" s="1"/>
  <c r="K14" i="5"/>
  <c r="C6" i="5"/>
  <c r="H6" i="5" s="1"/>
  <c r="K17" i="5"/>
  <c r="K12" i="5"/>
  <c r="H6" i="9"/>
  <c r="B22" i="5" l="1"/>
  <c r="D22" i="5"/>
  <c r="C22" i="5"/>
  <c r="G29" i="5"/>
  <c r="D4" i="9"/>
  <c r="F4" i="9" s="1"/>
  <c r="G4" i="9" s="1"/>
  <c r="C7" i="5"/>
  <c r="H7" i="5" s="1"/>
  <c r="C5" i="5"/>
  <c r="H5" i="5" s="1"/>
  <c r="D4" i="5"/>
  <c r="F4" i="5" s="1"/>
  <c r="G4" i="5" s="1"/>
  <c r="D5" i="5"/>
  <c r="F5" i="5" s="1"/>
  <c r="G5" i="5" s="1"/>
  <c r="K13" i="5"/>
  <c r="K15" i="5"/>
  <c r="D6" i="5"/>
  <c r="F6" i="5" s="1"/>
  <c r="G6" i="5" s="1"/>
  <c r="K16" i="5"/>
  <c r="D7" i="5"/>
  <c r="F7" i="5" s="1"/>
  <c r="G7" i="5" s="1"/>
  <c r="D3" i="9"/>
  <c r="F3" i="9" s="1"/>
  <c r="G3" i="9" s="1"/>
  <c r="K11" i="5"/>
  <c r="C4" i="9"/>
  <c r="H4" i="9" s="1"/>
  <c r="C3" i="9"/>
  <c r="C4" i="5"/>
  <c r="F20" i="5" l="1"/>
  <c r="C8" i="5"/>
  <c r="C7" i="9"/>
  <c r="D7" i="9"/>
  <c r="D8" i="5"/>
  <c r="H4" i="5"/>
  <c r="H3" i="9"/>
  <c r="H7" i="9" s="1"/>
  <c r="H8" i="5" l="1"/>
  <c r="D32" i="5" l="1"/>
  <c r="E32" i="5" l="1"/>
  <c r="G3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Corp.TG</author>
  </authors>
  <commentList>
    <comment ref="E24" authorId="0" shapeId="0" xr:uid="{6CDF2983-A350-40E5-B0F0-1AC1C722043E}">
      <text>
        <r>
          <rPr>
            <b/>
            <sz val="9"/>
            <color indexed="81"/>
            <rFont val="Tahoma"/>
            <family val="2"/>
          </rPr>
          <t>200W dc ประมาณ 1 A ac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<sst xmlns="http://schemas.openxmlformats.org/spreadsheetml/2006/main" count="2307" uniqueCount="569">
  <si>
    <t>No.</t>
  </si>
  <si>
    <t>UMDB</t>
  </si>
  <si>
    <t>UPS</t>
  </si>
  <si>
    <t>STS</t>
  </si>
  <si>
    <t>OUDB</t>
  </si>
  <si>
    <t>Voltage (V)</t>
  </si>
  <si>
    <t>Current (A)</t>
  </si>
  <si>
    <t>Load (kW)</t>
  </si>
  <si>
    <t>Load (kVA)</t>
  </si>
  <si>
    <t>Capacity(kVA)</t>
  </si>
  <si>
    <t>Load (%)</t>
  </si>
  <si>
    <t>UMDB11A (EMDB_12A2)</t>
  </si>
  <si>
    <t>UPS 11A</t>
  </si>
  <si>
    <t>STS11A</t>
  </si>
  <si>
    <t>OUDB41A</t>
  </si>
  <si>
    <t>UMDB11B (EMDB_12B2)</t>
  </si>
  <si>
    <t>UPS 11B</t>
  </si>
  <si>
    <t>STS11B</t>
  </si>
  <si>
    <t>OUDB41B</t>
  </si>
  <si>
    <t>UMDB13A (EMDB_12A1)</t>
  </si>
  <si>
    <t>UPS 13A</t>
  </si>
  <si>
    <t>STS13A</t>
  </si>
  <si>
    <t>OUDB42A</t>
  </si>
  <si>
    <t>UMDB13B (EMDB_12B1)</t>
  </si>
  <si>
    <t>UPS 13B</t>
  </si>
  <si>
    <t>STS13B</t>
  </si>
  <si>
    <t>OUDB42B</t>
  </si>
  <si>
    <t>MTS.UPS14C
(EMDB_12A-B1)</t>
  </si>
  <si>
    <t>UPS 14C</t>
  </si>
  <si>
    <t>-</t>
  </si>
  <si>
    <t>OUDB43</t>
  </si>
  <si>
    <t>UMDB15A
(EMDB_12A2)</t>
  </si>
  <si>
    <t>UPS 15A</t>
  </si>
  <si>
    <t>STS15A</t>
  </si>
  <si>
    <t>OUDB31A</t>
  </si>
  <si>
    <t>UMDB15B
(EMDB_12B2)</t>
  </si>
  <si>
    <t>UPS 15B</t>
  </si>
  <si>
    <t>STS15B</t>
  </si>
  <si>
    <t>OUDB31B</t>
  </si>
  <si>
    <t>Reporting Month</t>
  </si>
  <si>
    <t>Average Electricity Rate (THB/kWh)</t>
  </si>
  <si>
    <t>PPC45A</t>
  </si>
  <si>
    <t>PPC46A</t>
  </si>
  <si>
    <t>PDUA1-1</t>
  </si>
  <si>
    <t>PDUA1-2</t>
  </si>
  <si>
    <t>PPC45B</t>
  </si>
  <si>
    <t>PPC46B</t>
  </si>
  <si>
    <t>PDUB1-1</t>
  </si>
  <si>
    <t>PDUB1-2</t>
  </si>
  <si>
    <t>Total Usage (kW)</t>
  </si>
  <si>
    <t>Total Usage (kVA)</t>
  </si>
  <si>
    <t>Available (%)</t>
  </si>
  <si>
    <t>UMDB13A
(EMDB_12A1)</t>
  </si>
  <si>
    <t>PPC41A</t>
  </si>
  <si>
    <t>PPC42A</t>
  </si>
  <si>
    <t>PPC43A</t>
  </si>
  <si>
    <t>UMDB13B
(EMDB_12B1)</t>
  </si>
  <si>
    <t>PPC41B</t>
  </si>
  <si>
    <t>PPC42B</t>
  </si>
  <si>
    <t>PPC43B</t>
  </si>
  <si>
    <t>ULP41A</t>
  </si>
  <si>
    <t>ULP41B</t>
  </si>
  <si>
    <t>PPC44A</t>
  </si>
  <si>
    <t>PPC31A</t>
  </si>
  <si>
    <t>PPC32A</t>
  </si>
  <si>
    <t>PPC44B</t>
  </si>
  <si>
    <t>PPC31B</t>
  </si>
  <si>
    <t>PPC32B</t>
  </si>
  <si>
    <t>Power Panel (PPC)</t>
  </si>
  <si>
    <t>kWh/Month</t>
  </si>
  <si>
    <t>Floor</t>
  </si>
  <si>
    <t>4th Floor Electricity Cost (THB)</t>
  </si>
  <si>
    <t>Days of last month</t>
  </si>
  <si>
    <t>UPS 11</t>
  </si>
  <si>
    <t>UPS 13</t>
  </si>
  <si>
    <t>UPS 14</t>
  </si>
  <si>
    <t>UPS 15</t>
  </si>
  <si>
    <t>Total</t>
  </si>
  <si>
    <t>Month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</si>
  <si>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</si>
  <si>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</si>
  <si>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</si>
  <si>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</si>
  <si>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</si>
  <si>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</si>
  <si>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</si>
  <si>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</si>
  <si>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</si>
  <si>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</si>
  <si>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</si>
  <si>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</si>
  <si>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DC PDB41A</t>
  </si>
  <si>
    <t>DC PDB41B</t>
  </si>
  <si>
    <t>DC PDB42A</t>
  </si>
  <si>
    <t>DC PDB42B</t>
  </si>
  <si>
    <t>AC Current @220V (A)</t>
  </si>
  <si>
    <t>Air Conditioning Energy Consumption</t>
  </si>
  <si>
    <t>Last Saved : 29-Jun-2026 07:51:56</t>
  </si>
  <si>
    <t>MTS.UPS14C (EMDB_12A-B1)</t>
  </si>
  <si>
    <t>UMDB15A (EMDB_12A2)</t>
  </si>
  <si>
    <t>UMDB15B (EMDB_12B2)</t>
  </si>
  <si>
    <t>EB41A (GWh)</t>
  </si>
  <si>
    <t>EB41B (GWh)</t>
  </si>
  <si>
    <t>EB42A (GWh)</t>
  </si>
  <si>
    <t>EB42B (GWh)</t>
  </si>
  <si>
    <t>1. UPS Load Status – DCM 4th Floor</t>
  </si>
  <si>
    <t>UPS Capacity (kVA)</t>
  </si>
  <si>
    <t>Total Load (kW)</t>
  </si>
  <si>
    <t>Total Load (kVA)</t>
  </si>
  <si>
    <t>Building Energy Consumption (kWh)</t>
  </si>
  <si>
    <t xml:space="preserve">Building Electricity Cost (THB) </t>
  </si>
  <si>
    <t>Monthly Energy (kWh)</t>
  </si>
  <si>
    <t>Monthly Difference</t>
  </si>
  <si>
    <t>DC Voltage (V)</t>
  </si>
  <si>
    <t>DC Current (A)</t>
  </si>
  <si>
    <t>DC Power Panel</t>
  </si>
  <si>
    <t>DC Power (W)</t>
  </si>
  <si>
    <t>AC Power (W)</t>
  </si>
  <si>
    <t>4th Floor Energy Consumption (kWh)</t>
  </si>
  <si>
    <t>4th Floor Energy Share (%)</t>
  </si>
  <si>
    <t>Building Electricity Cost (THB)</t>
  </si>
  <si>
    <t>A</t>
  </si>
  <si>
    <t>Building Energy Consumption 
(kWh)</t>
  </si>
  <si>
    <t>Building Energy Consumption &amp; Electricity Cost</t>
  </si>
  <si>
    <t>Rack Zone</t>
  </si>
  <si>
    <t>Rack ID</t>
  </si>
  <si>
    <t>Status</t>
  </si>
  <si>
    <t>Detail</t>
  </si>
  <si>
    <t>Device Type</t>
  </si>
  <si>
    <t>Remarks</t>
  </si>
  <si>
    <t>AA01</t>
  </si>
  <si>
    <t>Pending Dismantle</t>
  </si>
  <si>
    <t>60*100</t>
  </si>
  <si>
    <t>RST4P-B6600-01</t>
  </si>
  <si>
    <t>Storage</t>
  </si>
  <si>
    <t>AA02</t>
  </si>
  <si>
    <t>In Use</t>
  </si>
  <si>
    <t>IP-IVR</t>
  </si>
  <si>
    <t>Network</t>
  </si>
  <si>
    <t>AA03</t>
  </si>
  <si>
    <t>AA04</t>
  </si>
  <si>
    <t>Available</t>
  </si>
  <si>
    <t>Server</t>
  </si>
  <si>
    <t>To use this position, AA3 needs to be moved.</t>
  </si>
  <si>
    <t>AA05</t>
  </si>
  <si>
    <t>60*120</t>
  </si>
  <si>
    <t>AA06</t>
  </si>
  <si>
    <t>AA07</t>
  </si>
  <si>
    <t>AA08</t>
  </si>
  <si>
    <t>AB01</t>
  </si>
  <si>
    <t>80*90</t>
  </si>
  <si>
    <t>Patch Panel</t>
  </si>
  <si>
    <t>AB02</t>
  </si>
  <si>
    <t>AIR</t>
  </si>
  <si>
    <t>Air</t>
  </si>
  <si>
    <t>AB03</t>
  </si>
  <si>
    <t>AB04</t>
  </si>
  <si>
    <t>AB05</t>
  </si>
  <si>
    <t>AB06</t>
  </si>
  <si>
    <t>AB07</t>
  </si>
  <si>
    <t>AB08</t>
  </si>
  <si>
    <t>AC01</t>
  </si>
  <si>
    <t>80*100</t>
  </si>
  <si>
    <t>AC02</t>
  </si>
  <si>
    <t>NDR</t>
  </si>
  <si>
    <t>AC03</t>
  </si>
  <si>
    <t>Datamart DA</t>
  </si>
  <si>
    <t>AC04</t>
  </si>
  <si>
    <t>CBS-Postpaid (PR)</t>
  </si>
  <si>
    <t>AC05</t>
  </si>
  <si>
    <t>AC06</t>
  </si>
  <si>
    <t>AC07</t>
  </si>
  <si>
    <t>AC08</t>
  </si>
  <si>
    <t>AD01</t>
  </si>
  <si>
    <t>AD02</t>
  </si>
  <si>
    <t>AD03</t>
  </si>
  <si>
    <t>AD04</t>
  </si>
  <si>
    <t>AD05</t>
  </si>
  <si>
    <t>AD06</t>
  </si>
  <si>
    <t>AD07</t>
  </si>
  <si>
    <t>AD08</t>
  </si>
  <si>
    <t>AE01</t>
  </si>
  <si>
    <t>AE02</t>
  </si>
  <si>
    <t>AE03</t>
  </si>
  <si>
    <t>AE04</t>
  </si>
  <si>
    <t>DNA</t>
  </si>
  <si>
    <t>AE05</t>
  </si>
  <si>
    <t>AE06</t>
  </si>
  <si>
    <t>AE07</t>
  </si>
  <si>
    <t>AE08</t>
  </si>
  <si>
    <t>AF01</t>
  </si>
  <si>
    <t>AF02</t>
  </si>
  <si>
    <t>AF03</t>
  </si>
  <si>
    <t>AF04</t>
  </si>
  <si>
    <t>AF05</t>
  </si>
  <si>
    <t>AF06</t>
  </si>
  <si>
    <t>AF07</t>
  </si>
  <si>
    <t>Reserved</t>
  </si>
  <si>
    <t>Reserved for Infra</t>
  </si>
  <si>
    <t>AF08</t>
  </si>
  <si>
    <t>AG01</t>
  </si>
  <si>
    <t>AG02</t>
  </si>
  <si>
    <t>SAN DIRECTOR</t>
  </si>
  <si>
    <t>AG03</t>
  </si>
  <si>
    <t>AG04</t>
  </si>
  <si>
    <t>SAN Switch</t>
  </si>
  <si>
    <t>AG05</t>
  </si>
  <si>
    <t>AG06</t>
  </si>
  <si>
    <t>AG07</t>
  </si>
  <si>
    <t>AG08</t>
  </si>
  <si>
    <t>AH01</t>
  </si>
  <si>
    <t>80*120</t>
  </si>
  <si>
    <t>AH02</t>
  </si>
  <si>
    <t>AH03</t>
  </si>
  <si>
    <t>AH04</t>
  </si>
  <si>
    <t>AH05</t>
  </si>
  <si>
    <t>AH06</t>
  </si>
  <si>
    <t>AI01</t>
  </si>
  <si>
    <t>AI02</t>
  </si>
  <si>
    <t>AI03</t>
  </si>
  <si>
    <t>AI04</t>
  </si>
  <si>
    <t>AI05</t>
  </si>
  <si>
    <t>AI06</t>
  </si>
  <si>
    <t>AJ01</t>
  </si>
  <si>
    <t>AJ02</t>
  </si>
  <si>
    <t>AJ03</t>
  </si>
  <si>
    <t>AJ04</t>
  </si>
  <si>
    <t>AJ05</t>
  </si>
  <si>
    <t>AJ06</t>
  </si>
  <si>
    <t>AK01</t>
  </si>
  <si>
    <t>AK02</t>
  </si>
  <si>
    <t>SAN DIRECTOR TEST</t>
  </si>
  <si>
    <t>AK03</t>
  </si>
  <si>
    <t>AK04</t>
  </si>
  <si>
    <t>AK05</t>
  </si>
  <si>
    <t>AK06</t>
  </si>
  <si>
    <t>AK07</t>
  </si>
  <si>
    <t>AK08</t>
  </si>
  <si>
    <t>True Single Data Lake_Test</t>
  </si>
  <si>
    <t>AL01</t>
  </si>
  <si>
    <t>AL02</t>
  </si>
  <si>
    <t>Old Storage</t>
  </si>
  <si>
    <t>For Testbed</t>
  </si>
  <si>
    <t>AL03</t>
  </si>
  <si>
    <t>AL04</t>
  </si>
  <si>
    <t>AL05</t>
  </si>
  <si>
    <t>AL06</t>
  </si>
  <si>
    <t>AL07</t>
  </si>
  <si>
    <t>AL08</t>
  </si>
  <si>
    <t>AM01</t>
  </si>
  <si>
    <t>AM02</t>
  </si>
  <si>
    <t>60*90</t>
  </si>
  <si>
    <t>CBS-3G</t>
  </si>
  <si>
    <t>AM03</t>
  </si>
  <si>
    <t>CBS-2G, CBS-3G</t>
  </si>
  <si>
    <t>AM04</t>
  </si>
  <si>
    <t>AM05</t>
  </si>
  <si>
    <t>CBS-2G</t>
  </si>
  <si>
    <t>AM06</t>
  </si>
  <si>
    <t>AM07</t>
  </si>
  <si>
    <t>Reserved for Infra_Testbed</t>
  </si>
  <si>
    <t>AM08</t>
  </si>
  <si>
    <t>B</t>
  </si>
  <si>
    <t>BA01</t>
  </si>
  <si>
    <t>BA02</t>
  </si>
  <si>
    <t>BA03</t>
  </si>
  <si>
    <t>CBS-Prepaid (Testbed)</t>
  </si>
  <si>
    <t>BA04</t>
  </si>
  <si>
    <t>BA05</t>
  </si>
  <si>
    <t>BA06</t>
  </si>
  <si>
    <t>BB01</t>
  </si>
  <si>
    <t>BB02</t>
  </si>
  <si>
    <t>BB03</t>
  </si>
  <si>
    <t>BB04</t>
  </si>
  <si>
    <t>BB05</t>
  </si>
  <si>
    <t>BB06</t>
  </si>
  <si>
    <t>BC01</t>
  </si>
  <si>
    <t>BC02</t>
  </si>
  <si>
    <t>BC03</t>
  </si>
  <si>
    <t>BC04</t>
  </si>
  <si>
    <t>BC05</t>
  </si>
  <si>
    <t>BC06</t>
  </si>
  <si>
    <t>BC07</t>
  </si>
  <si>
    <t>BD01</t>
  </si>
  <si>
    <t>BD02</t>
  </si>
  <si>
    <t>BD03</t>
  </si>
  <si>
    <t>BD04</t>
  </si>
  <si>
    <t>BD05</t>
  </si>
  <si>
    <t>BD06</t>
  </si>
  <si>
    <t>ODF</t>
  </si>
  <si>
    <t>BE01</t>
  </si>
  <si>
    <t>BE02</t>
  </si>
  <si>
    <t>BE03</t>
  </si>
  <si>
    <t>BE04</t>
  </si>
  <si>
    <t>BE05</t>
  </si>
  <si>
    <t>BE06</t>
  </si>
  <si>
    <t>BE07</t>
  </si>
  <si>
    <t>BF01</t>
  </si>
  <si>
    <t>BF02</t>
  </si>
  <si>
    <t>BF03</t>
  </si>
  <si>
    <t>BF04</t>
  </si>
  <si>
    <t>BF05</t>
  </si>
  <si>
    <t>BF06</t>
  </si>
  <si>
    <t>BF07</t>
  </si>
  <si>
    <t>BG01</t>
  </si>
  <si>
    <t>BG02</t>
  </si>
  <si>
    <t>BG03</t>
  </si>
  <si>
    <t>BG04</t>
  </si>
  <si>
    <t>BG05</t>
  </si>
  <si>
    <t>BH01</t>
  </si>
  <si>
    <t>BH02</t>
  </si>
  <si>
    <t>BH03</t>
  </si>
  <si>
    <t>BH04</t>
  </si>
  <si>
    <t>BH05</t>
  </si>
  <si>
    <t>BH06</t>
  </si>
  <si>
    <t>BI01</t>
  </si>
  <si>
    <t>BI02</t>
  </si>
  <si>
    <t>BI03</t>
  </si>
  <si>
    <t>BI04</t>
  </si>
  <si>
    <t>BI05</t>
  </si>
  <si>
    <t>BJ01</t>
  </si>
  <si>
    <t>BJ02</t>
  </si>
  <si>
    <t>BJ03</t>
  </si>
  <si>
    <t>BJ04</t>
  </si>
  <si>
    <t>BJ05</t>
  </si>
  <si>
    <t>BJ06</t>
  </si>
  <si>
    <t>BK01</t>
  </si>
  <si>
    <t>BK02</t>
  </si>
  <si>
    <t>60*60</t>
  </si>
  <si>
    <t>Reserved for ODF</t>
  </si>
  <si>
    <t>BK03</t>
  </si>
  <si>
    <t>BK04</t>
  </si>
  <si>
    <t>BK05</t>
  </si>
  <si>
    <t>BK06</t>
  </si>
  <si>
    <t>BK07</t>
  </si>
  <si>
    <t>BL01</t>
  </si>
  <si>
    <t>SCADA</t>
  </si>
  <si>
    <t>BL02</t>
  </si>
  <si>
    <t>U2000</t>
  </si>
  <si>
    <t>BL03</t>
  </si>
  <si>
    <t>BL04</t>
  </si>
  <si>
    <t>BL05</t>
  </si>
  <si>
    <t>BL06</t>
  </si>
  <si>
    <t>BL07</t>
  </si>
  <si>
    <t>C</t>
  </si>
  <si>
    <t>CA01</t>
  </si>
  <si>
    <t>CA02</t>
  </si>
  <si>
    <t>CA03</t>
  </si>
  <si>
    <t>CA04</t>
  </si>
  <si>
    <t>CA05</t>
  </si>
  <si>
    <t>CA06</t>
  </si>
  <si>
    <t>CA07</t>
  </si>
  <si>
    <t>True Single Data Lake</t>
  </si>
  <si>
    <t>CA08</t>
  </si>
  <si>
    <t>CB01</t>
  </si>
  <si>
    <t>CB02</t>
  </si>
  <si>
    <t>CB03</t>
  </si>
  <si>
    <t>CB04</t>
  </si>
  <si>
    <t>CB05</t>
  </si>
  <si>
    <t>CB06</t>
  </si>
  <si>
    <t>CB07</t>
  </si>
  <si>
    <t>CB08</t>
  </si>
  <si>
    <t>CC01</t>
  </si>
  <si>
    <t>CC02</t>
  </si>
  <si>
    <t>CC03</t>
  </si>
  <si>
    <t>CC04</t>
  </si>
  <si>
    <t>CC05</t>
  </si>
  <si>
    <t>CC06</t>
  </si>
  <si>
    <t>CC07</t>
  </si>
  <si>
    <t>CC08</t>
  </si>
  <si>
    <t>CD01</t>
  </si>
  <si>
    <t>CD02</t>
  </si>
  <si>
    <t>CD03</t>
  </si>
  <si>
    <t>CD04</t>
  </si>
  <si>
    <t>CD05</t>
  </si>
  <si>
    <t>CD06</t>
  </si>
  <si>
    <t>CD07</t>
  </si>
  <si>
    <t>CD08</t>
  </si>
  <si>
    <t>CE01</t>
  </si>
  <si>
    <t>CE02</t>
  </si>
  <si>
    <t>CE03</t>
  </si>
  <si>
    <t>PRIMERA_04</t>
  </si>
  <si>
    <t>CE04</t>
  </si>
  <si>
    <t>CE05</t>
  </si>
  <si>
    <t>CE06</t>
  </si>
  <si>
    <t>CE07</t>
  </si>
  <si>
    <t>CE08</t>
  </si>
  <si>
    <t>CF01</t>
  </si>
  <si>
    <t>CF02</t>
  </si>
  <si>
    <t>CF03</t>
  </si>
  <si>
    <t>PRIMERA_01</t>
  </si>
  <si>
    <t>CF04</t>
  </si>
  <si>
    <t>ALLETRA_02</t>
  </si>
  <si>
    <t>CF05</t>
  </si>
  <si>
    <t>ALLETRA_01</t>
  </si>
  <si>
    <t>CF06</t>
  </si>
  <si>
    <t>3PAR_04</t>
  </si>
  <si>
    <t>CF07</t>
  </si>
  <si>
    <t>CF08</t>
  </si>
  <si>
    <t>3PAR_06</t>
  </si>
  <si>
    <t>CG01</t>
  </si>
  <si>
    <t>CG02</t>
  </si>
  <si>
    <t>CBS-Postpaid (Testbed)</t>
  </si>
  <si>
    <t>CG03</t>
  </si>
  <si>
    <t>CG04</t>
  </si>
  <si>
    <t>CG05</t>
  </si>
  <si>
    <t>CG06</t>
  </si>
  <si>
    <t>CBS-3G_S6800_CBS_1</t>
  </si>
  <si>
    <t>CG07</t>
  </si>
  <si>
    <t>CBS-3G_S6800_CBS_2</t>
  </si>
  <si>
    <t>CG08</t>
  </si>
  <si>
    <t>CH01</t>
  </si>
  <si>
    <t>CH02</t>
  </si>
  <si>
    <t>CH03</t>
  </si>
  <si>
    <t>CH04</t>
  </si>
  <si>
    <t>CH05</t>
  </si>
  <si>
    <t>CH06</t>
  </si>
  <si>
    <t>CI01</t>
  </si>
  <si>
    <t>CI02</t>
  </si>
  <si>
    <t>CI03</t>
  </si>
  <si>
    <t>CI04</t>
  </si>
  <si>
    <t>CI05</t>
  </si>
  <si>
    <t>CI06</t>
  </si>
  <si>
    <t>CJ01</t>
  </si>
  <si>
    <t>CJ02</t>
  </si>
  <si>
    <t>CJ03</t>
  </si>
  <si>
    <t>CJ04</t>
  </si>
  <si>
    <t>CJ05</t>
  </si>
  <si>
    <t>CJ06</t>
  </si>
  <si>
    <t>CJ07</t>
  </si>
  <si>
    <t>CBS-Prepaid (PR)</t>
  </si>
  <si>
    <t>CK01</t>
  </si>
  <si>
    <t>CK02</t>
  </si>
  <si>
    <t>CK03</t>
  </si>
  <si>
    <t>CK04</t>
  </si>
  <si>
    <t>CK05</t>
  </si>
  <si>
    <t>CK06</t>
  </si>
  <si>
    <t>CK07</t>
  </si>
  <si>
    <t>CK08</t>
  </si>
  <si>
    <t>CL01</t>
  </si>
  <si>
    <t>CL02</t>
  </si>
  <si>
    <t>CL03</t>
  </si>
  <si>
    <t>Reserved for In-Row Cooling</t>
  </si>
  <si>
    <t>CL04</t>
  </si>
  <si>
    <t>CL05</t>
  </si>
  <si>
    <t>CL06</t>
  </si>
  <si>
    <t>CL07</t>
  </si>
  <si>
    <t>CL08</t>
  </si>
  <si>
    <t>D</t>
  </si>
  <si>
    <t>DA01</t>
  </si>
  <si>
    <t>S5650_2</t>
  </si>
  <si>
    <t>DA02</t>
  </si>
  <si>
    <t>PRIMERA_02</t>
  </si>
  <si>
    <t>DA03</t>
  </si>
  <si>
    <t>PRIMERA_03</t>
  </si>
  <si>
    <t>DA04</t>
  </si>
  <si>
    <t>DA05</t>
  </si>
  <si>
    <t>SO5650_1</t>
  </si>
  <si>
    <t>DA06</t>
  </si>
  <si>
    <t>Reserved for Storage</t>
  </si>
  <si>
    <t>DA07</t>
  </si>
  <si>
    <t>DB01</t>
  </si>
  <si>
    <t>DB02</t>
  </si>
  <si>
    <t>DB03</t>
  </si>
  <si>
    <t>DB04</t>
  </si>
  <si>
    <t>RST4P-SO5660-01</t>
  </si>
  <si>
    <t>DB05</t>
  </si>
  <si>
    <t>TD</t>
  </si>
  <si>
    <t>LIBRARY</t>
  </si>
  <si>
    <t>DB06</t>
  </si>
  <si>
    <t>DB07</t>
  </si>
  <si>
    <t>DB08</t>
  </si>
  <si>
    <t>DC01</t>
  </si>
  <si>
    <t>DC02</t>
  </si>
  <si>
    <t>poweroff</t>
  </si>
  <si>
    <t>DC03</t>
  </si>
  <si>
    <t>DC04</t>
  </si>
  <si>
    <t>DC05</t>
  </si>
  <si>
    <t>DC06</t>
  </si>
  <si>
    <t>DC07</t>
  </si>
  <si>
    <t>DC08</t>
  </si>
  <si>
    <t>DD01</t>
  </si>
  <si>
    <t>DD02</t>
  </si>
  <si>
    <t>DD03</t>
  </si>
  <si>
    <t>DD04</t>
  </si>
  <si>
    <t>DD05</t>
  </si>
  <si>
    <t>DD06</t>
  </si>
  <si>
    <t>DD07</t>
  </si>
  <si>
    <t>VRBT</t>
  </si>
  <si>
    <t>DD08</t>
  </si>
  <si>
    <t>DE01</t>
  </si>
  <si>
    <t>DE02</t>
  </si>
  <si>
    <t>DE03</t>
  </si>
  <si>
    <t>DE04</t>
  </si>
  <si>
    <t>DE05</t>
  </si>
  <si>
    <t>DE06</t>
  </si>
  <si>
    <t>DE07</t>
  </si>
  <si>
    <t>DE08</t>
  </si>
  <si>
    <t>DF01</t>
  </si>
  <si>
    <t>DF02</t>
  </si>
  <si>
    <t>DF03</t>
  </si>
  <si>
    <t>DF04</t>
  </si>
  <si>
    <t>DF05</t>
  </si>
  <si>
    <t>DF06</t>
  </si>
  <si>
    <t>DF07</t>
  </si>
  <si>
    <t>DG01</t>
  </si>
  <si>
    <t>SDP</t>
  </si>
  <si>
    <t>DG02</t>
  </si>
  <si>
    <t>VDI</t>
  </si>
  <si>
    <t>DG03</t>
  </si>
  <si>
    <t>DG04</t>
  </si>
  <si>
    <t>DG05</t>
  </si>
  <si>
    <t>DG06</t>
  </si>
  <si>
    <t>DG07</t>
  </si>
  <si>
    <t>DG08</t>
  </si>
  <si>
    <t>DH01</t>
  </si>
  <si>
    <t>DH02</t>
  </si>
  <si>
    <t>60*110</t>
  </si>
  <si>
    <t>DH03</t>
  </si>
  <si>
    <t>DH04</t>
  </si>
  <si>
    <t>DH05</t>
  </si>
  <si>
    <t>DH06</t>
  </si>
  <si>
    <t>DH07</t>
  </si>
  <si>
    <t>DH08</t>
  </si>
  <si>
    <t>DI01</t>
  </si>
  <si>
    <t>DI02</t>
  </si>
  <si>
    <t>DI03</t>
  </si>
  <si>
    <t>DI04</t>
  </si>
  <si>
    <t>DI05</t>
  </si>
  <si>
    <t>DI06</t>
  </si>
  <si>
    <t>Reserved for DNA</t>
  </si>
  <si>
    <t>DI07</t>
  </si>
  <si>
    <t>DI08</t>
  </si>
  <si>
    <t>DJ01</t>
  </si>
  <si>
    <t>DJ02</t>
  </si>
  <si>
    <t>DJ03</t>
  </si>
  <si>
    <t>DJ04</t>
  </si>
  <si>
    <t>DJ05</t>
  </si>
  <si>
    <t>DJ06</t>
  </si>
  <si>
    <t>DJ07</t>
  </si>
  <si>
    <t>DJ08</t>
  </si>
  <si>
    <t>DK01</t>
  </si>
  <si>
    <t>OMS</t>
  </si>
  <si>
    <t>DK02</t>
  </si>
  <si>
    <t>DK03</t>
  </si>
  <si>
    <t>DK04</t>
  </si>
  <si>
    <t>DK05</t>
  </si>
  <si>
    <t>DK06</t>
  </si>
  <si>
    <t>DK07</t>
  </si>
  <si>
    <t>DK08</t>
  </si>
  <si>
    <t>DL01</t>
  </si>
  <si>
    <t>DL02</t>
  </si>
  <si>
    <t>DL03</t>
  </si>
  <si>
    <t>DL04</t>
  </si>
  <si>
    <t>DL05</t>
  </si>
  <si>
    <t>DL06</t>
  </si>
  <si>
    <t>DL07</t>
  </si>
  <si>
    <t>DL08</t>
  </si>
  <si>
    <t>Grand Total</t>
  </si>
  <si>
    <t xml:space="preserve"> </t>
  </si>
  <si>
    <t>Cabinet Size (WxD cm)</t>
  </si>
  <si>
    <t>Vectra NDR</t>
  </si>
  <si>
    <t>Days in month</t>
  </si>
  <si>
    <t>2. Air Conditioning Energy Consumption – 4th Floor</t>
  </si>
  <si>
    <t>4. Overall Energy Consumption &amp; Electricity Cost</t>
  </si>
  <si>
    <t>UPS 15A (PPC44A)</t>
  </si>
  <si>
    <t>UPS 15B (PPC44B)</t>
  </si>
  <si>
    <t>3. DC Power Panel Load Status</t>
  </si>
  <si>
    <t>UPS 15 (PPC44A, PPC44B)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</si>
</sst>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_(* #,##0.000000_);_(* \(#,##0.000000\);_(* &quot;-&quot;??_);_(@_)"/>
    <numFmt numFmtId="167" formatCode="_(* #,##0.000_);_(* \(#,##0.000\);_(* &quot;-&quot;??_);_(@_)"/>
  </numFmts>
  <fonts count="29">
    <font>
      <sz val="10"/>
      <color theme="1"/>
      <name val="Tahoma"/>
      <family val="2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000000"/>
      <name val="Tahoma"/>
      <family val="2"/>
    </font>
    <font>
      <b/>
      <sz val="10"/>
      <color theme="0"/>
      <name val="Tahoma"/>
      <family val="2"/>
    </font>
    <font>
      <b/>
      <sz val="9"/>
      <color rgb="FF000000"/>
      <name val="Prompt"/>
      <charset val="222"/>
    </font>
    <font>
      <sz val="9"/>
      <color rgb="FF000000"/>
      <name val="Prompt"/>
      <charset val="222"/>
    </font>
    <font>
      <sz val="9"/>
      <color theme="1"/>
      <name val="Prompt"/>
      <charset val="222"/>
    </font>
    <font>
      <sz val="9"/>
      <color theme="1"/>
      <name val="Tahoma"/>
      <family val="2"/>
    </font>
    <font>
      <b/>
      <sz val="16"/>
      <color theme="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Prompt"/>
      <charset val="222"/>
    </font>
    <font>
      <sz val="10"/>
      <color theme="1"/>
      <name val="Prompt"/>
      <charset val="222"/>
    </font>
    <font>
      <b/>
      <sz val="16"/>
      <color theme="1"/>
      <name val="Prompt"/>
      <charset val="222"/>
    </font>
    <font>
      <b/>
      <sz val="10"/>
      <color theme="1"/>
      <name val="Prompt"/>
      <charset val="222"/>
    </font>
    <font>
      <sz val="8"/>
      <name val="Tahoma"/>
      <family val="2"/>
    </font>
    <font>
      <b/>
      <sz val="10"/>
      <color rgb="FF0070C0"/>
      <name val="Prompt"/>
      <charset val="222"/>
    </font>
    <font>
      <b/>
      <sz val="11"/>
      <color theme="9" tint="-0.499984740745262"/>
      <name val="Prompt"/>
      <charset val="22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 Light"/>
      <family val="2"/>
      <scheme val="major"/>
    </font>
    <font>
      <sz val="14"/>
      <name val="Cordia New"/>
      <family val="2"/>
    </font>
    <font>
      <sz val="1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b/>
      <sz val="11"/>
      <name val="Calibri Light"/>
      <family val="2"/>
      <scheme val="major"/>
    </font>
    <font>
      <b/>
      <sz val="11"/>
      <name val="Calibri"/>
      <family val="2"/>
      <scheme val="minor"/>
    </font>
    <font>
      <sz val="10"/>
      <color theme="0"/>
      <name val="Prompt"/>
      <charset val="222"/>
    </font>
    <font>
      <b/>
      <sz val="10"/>
      <color rgb="FF0000FF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6CD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249977111117893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theme="4" tint="0.79998168889431442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" fillId="0" borderId="0">
      <protection locked="0"/>
    </xf>
    <xf numFmtId="9" fontId="1" fillId="0" borderId="0"/>
    <xf numFmtId="43" fontId="1" fillId="0" borderId="0"/>
    <xf numFmtId="0" fontId="19" fillId="0" borderId="0"/>
    <xf numFmtId="0" fontId="20" fillId="0" borderId="0"/>
    <xf numFmtId="0" fontId="22" fillId="0" borderId="0"/>
  </cellStyleXfs>
  <cellXfs count="163">
    <xf numFmtId="0" fontId="0" fillId="0" borderId="0" xfId="0"/>
    <xf numFmtId="10" fontId="0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0" applyFont="1"/>
    <xf numFmtId="0" fontId="7" fillId="4" borderId="2" xfId="0" applyFont="1" applyFill="1" applyBorder="1"/>
    <xf numFmtId="17" fontId="0" fillId="0" borderId="0" xfId="0" applyNumberFormat="1"/>
    <xf numFmtId="43" fontId="0" fillId="0" borderId="0" xfId="3" applyFont="1"/>
    <xf numFmtId="0" fontId="2" fillId="4" borderId="0" xfId="0" applyFont="1" applyFill="1" applyAlignment="1">
      <alignment horizontal="center"/>
    </xf>
    <xf numFmtId="0" fontId="4" fillId="7" borderId="2" xfId="0" applyFont="1" applyFill="1" applyBorder="1"/>
    <xf numFmtId="10" fontId="4" fillId="7" borderId="2" xfId="2" applyNumberFormat="1" applyFont="1" applyFill="1" applyBorder="1"/>
    <xf numFmtId="0" fontId="0" fillId="8" borderId="2" xfId="0" applyFill="1" applyBorder="1"/>
    <xf numFmtId="10" fontId="0" fillId="8" borderId="2" xfId="2" applyNumberFormat="1" applyFont="1" applyFill="1" applyBorder="1"/>
    <xf numFmtId="165" fontId="0" fillId="8" borderId="2" xfId="3" applyNumberFormat="1" applyFont="1" applyFill="1" applyBorder="1"/>
    <xf numFmtId="0" fontId="0" fillId="0" borderId="2" xfId="0" applyBorder="1"/>
    <xf numFmtId="10" fontId="0" fillId="0" borderId="2" xfId="2" applyNumberFormat="1" applyFont="1" applyBorder="1"/>
    <xf numFmtId="165" fontId="0" fillId="0" borderId="2" xfId="3" applyNumberFormat="1" applyFont="1" applyBorder="1"/>
    <xf numFmtId="43" fontId="0" fillId="0" borderId="2" xfId="3" applyFont="1" applyBorder="1"/>
    <xf numFmtId="0" fontId="2" fillId="9" borderId="2" xfId="0" applyFont="1" applyFill="1" applyBorder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0" borderId="0" xfId="0" applyFont="1"/>
    <xf numFmtId="0" fontId="2" fillId="9" borderId="9" xfId="0" applyFont="1" applyFill="1" applyBorder="1"/>
    <xf numFmtId="0" fontId="13" fillId="0" borderId="0" xfId="0" applyFont="1"/>
    <xf numFmtId="0" fontId="13" fillId="8" borderId="2" xfId="0" applyFont="1" applyFill="1" applyBorder="1" applyAlignment="1">
      <alignment horizontal="center"/>
    </xf>
    <xf numFmtId="10" fontId="13" fillId="8" borderId="2" xfId="2" applyNumberFormat="1" applyFont="1" applyFill="1" applyBorder="1" applyAlignment="1">
      <alignment horizontal="center"/>
    </xf>
    <xf numFmtId="0" fontId="13" fillId="0" borderId="2" xfId="0" applyFont="1" applyBorder="1" applyAlignment="1">
      <alignment horizontal="center"/>
    </xf>
    <xf numFmtId="10" fontId="13" fillId="0" borderId="2" xfId="2" applyNumberFormat="1" applyFont="1" applyBorder="1" applyAlignment="1">
      <alignment horizontal="center"/>
    </xf>
    <xf numFmtId="16" fontId="0" fillId="0" borderId="0" xfId="0" applyNumberFormat="1"/>
    <xf numFmtId="0" fontId="13" fillId="8" borderId="2" xfId="0" applyFont="1" applyFill="1" applyBorder="1"/>
    <xf numFmtId="0" fontId="13" fillId="0" borderId="2" xfId="0" applyFont="1" applyBorder="1"/>
    <xf numFmtId="0" fontId="12" fillId="7" borderId="4" xfId="0" applyFont="1" applyFill="1" applyBorder="1" applyAlignment="1">
      <alignment horizontal="center" vertical="center" wrapText="1"/>
    </xf>
    <xf numFmtId="0" fontId="12" fillId="7" borderId="5" xfId="0" applyFont="1" applyFill="1" applyBorder="1" applyAlignment="1">
      <alignment horizontal="center" vertical="center" wrapText="1"/>
    </xf>
    <xf numFmtId="10" fontId="12" fillId="7" borderId="5" xfId="2" applyNumberFormat="1" applyFont="1" applyFill="1" applyBorder="1" applyAlignment="1">
      <alignment horizontal="center" vertical="center" wrapText="1"/>
    </xf>
    <xf numFmtId="10" fontId="12" fillId="7" borderId="10" xfId="2" applyNumberFormat="1" applyFont="1" applyFill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center"/>
    </xf>
    <xf numFmtId="165" fontId="13" fillId="8" borderId="6" xfId="3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165" fontId="13" fillId="0" borderId="6" xfId="3" applyNumberFormat="1" applyFont="1" applyBorder="1" applyAlignment="1">
      <alignment horizontal="center"/>
    </xf>
    <xf numFmtId="1" fontId="15" fillId="0" borderId="7" xfId="3" applyNumberFormat="1" applyFont="1" applyBorder="1" applyAlignment="1">
      <alignment horizontal="center"/>
    </xf>
    <xf numFmtId="0" fontId="15" fillId="9" borderId="7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43" fontId="13" fillId="0" borderId="2" xfId="0" applyNumberFormat="1" applyFont="1" applyBorder="1" applyAlignment="1">
      <alignment horizontal="center" vertical="center"/>
    </xf>
    <xf numFmtId="43" fontId="13" fillId="8" borderId="2" xfId="3" applyFont="1" applyFill="1" applyBorder="1" applyAlignment="1">
      <alignment horizontal="center" vertical="center"/>
    </xf>
    <xf numFmtId="43" fontId="17" fillId="0" borderId="8" xfId="3" applyFont="1" applyBorder="1" applyAlignment="1">
      <alignment horizontal="center"/>
    </xf>
    <xf numFmtId="166" fontId="13" fillId="8" borderId="2" xfId="3" applyNumberFormat="1" applyFont="1" applyFill="1" applyBorder="1"/>
    <xf numFmtId="0" fontId="2" fillId="0" borderId="0" xfId="0" applyFont="1" applyAlignment="1">
      <alignment horizontal="right" vertical="center" wrapText="1"/>
    </xf>
    <xf numFmtId="43" fontId="1" fillId="0" borderId="0" xfId="3"/>
    <xf numFmtId="164" fontId="0" fillId="0" borderId="0" xfId="0" applyNumberFormat="1"/>
    <xf numFmtId="17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17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9" fillId="0" borderId="0" xfId="0" applyFont="1" applyAlignment="1">
      <alignment horizontal="left"/>
    </xf>
    <xf numFmtId="0" fontId="7" fillId="3" borderId="2" xfId="0" applyFont="1" applyFill="1" applyBorder="1"/>
    <xf numFmtId="0" fontId="7" fillId="5" borderId="2" xfId="0" applyFont="1" applyFill="1" applyBorder="1"/>
    <xf numFmtId="0" fontId="5" fillId="2" borderId="2" xfId="1" applyFont="1" applyFill="1" applyBorder="1" applyAlignment="1" applyProtection="1">
      <alignment horizontal="center" vertical="center"/>
    </xf>
    <xf numFmtId="0" fontId="7" fillId="6" borderId="2" xfId="0" applyFont="1" applyFill="1" applyBorder="1" applyAlignment="1">
      <alignment vertical="center"/>
    </xf>
    <xf numFmtId="0" fontId="7" fillId="9" borderId="2" xfId="0" applyFont="1" applyFill="1" applyBorder="1" applyAlignment="1">
      <alignment vertical="center"/>
    </xf>
    <xf numFmtId="43" fontId="1" fillId="0" borderId="0" xfId="3" applyAlignment="1">
      <alignment horizontal="center" vertical="center"/>
    </xf>
    <xf numFmtId="43" fontId="0" fillId="0" borderId="0" xfId="3" applyFont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10" fontId="12" fillId="7" borderId="10" xfId="2" applyNumberFormat="1" applyFont="1" applyFill="1" applyBorder="1" applyAlignment="1">
      <alignment horizontal="center" vertical="center"/>
    </xf>
    <xf numFmtId="10" fontId="13" fillId="8" borderId="6" xfId="2" applyNumberFormat="1" applyFont="1" applyFill="1" applyBorder="1"/>
    <xf numFmtId="10" fontId="13" fillId="0" borderId="6" xfId="2" applyNumberFormat="1" applyFont="1" applyBorder="1"/>
    <xf numFmtId="0" fontId="13" fillId="8" borderId="3" xfId="0" applyFont="1" applyFill="1" applyBorder="1" applyAlignment="1">
      <alignment horizontal="center"/>
    </xf>
    <xf numFmtId="0" fontId="13" fillId="8" borderId="7" xfId="0" applyFont="1" applyFill="1" applyBorder="1"/>
    <xf numFmtId="10" fontId="13" fillId="8" borderId="8" xfId="2" applyNumberFormat="1" applyFont="1" applyFill="1" applyBorder="1"/>
    <xf numFmtId="0" fontId="12" fillId="7" borderId="4" xfId="0" applyFont="1" applyFill="1" applyBorder="1" applyAlignment="1">
      <alignment horizontal="center" wrapText="1"/>
    </xf>
    <xf numFmtId="0" fontId="12" fillId="7" borderId="5" xfId="0" applyFont="1" applyFill="1" applyBorder="1" applyAlignment="1">
      <alignment horizontal="center" wrapText="1"/>
    </xf>
    <xf numFmtId="0" fontId="12" fillId="7" borderId="10" xfId="0" applyFont="1" applyFill="1" applyBorder="1" applyAlignment="1">
      <alignment horizontal="center" wrapText="1"/>
    </xf>
    <xf numFmtId="0" fontId="13" fillId="11" borderId="3" xfId="0" applyFont="1" applyFill="1" applyBorder="1"/>
    <xf numFmtId="166" fontId="13" fillId="11" borderId="7" xfId="3" applyNumberFormat="1" applyFont="1" applyFill="1" applyBorder="1"/>
    <xf numFmtId="0" fontId="12" fillId="7" borderId="10" xfId="0" applyFont="1" applyFill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center" vertical="center"/>
    </xf>
    <xf numFmtId="43" fontId="13" fillId="8" borderId="6" xfId="3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43" fontId="13" fillId="0" borderId="6" xfId="0" applyNumberFormat="1" applyFont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0" fillId="9" borderId="7" xfId="0" applyFill="1" applyBorder="1"/>
    <xf numFmtId="0" fontId="15" fillId="15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2" fillId="7" borderId="13" xfId="0" applyFont="1" applyFill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0" fontId="13" fillId="8" borderId="13" xfId="0" applyFont="1" applyFill="1" applyBorder="1" applyAlignment="1">
      <alignment horizontal="center"/>
    </xf>
    <xf numFmtId="0" fontId="13" fillId="14" borderId="13" xfId="0" applyFont="1" applyFill="1" applyBorder="1" applyAlignment="1">
      <alignment horizontal="center"/>
    </xf>
    <xf numFmtId="0" fontId="13" fillId="14" borderId="14" xfId="0" applyFont="1" applyFill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" fontId="13" fillId="0" borderId="0" xfId="0" applyNumberFormat="1" applyFont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2" fillId="7" borderId="2" xfId="0" applyFont="1" applyFill="1" applyBorder="1" applyAlignment="1">
      <alignment horizontal="center" wrapText="1"/>
    </xf>
    <xf numFmtId="17" fontId="13" fillId="8" borderId="12" xfId="0" applyNumberFormat="1" applyFont="1" applyFill="1" applyBorder="1" applyAlignment="1">
      <alignment horizontal="center" vertical="center"/>
    </xf>
    <xf numFmtId="43" fontId="13" fillId="14" borderId="13" xfId="3" applyFont="1" applyFill="1" applyBorder="1" applyAlignment="1">
      <alignment horizontal="center" vertical="center"/>
    </xf>
    <xf numFmtId="43" fontId="13" fillId="14" borderId="14" xfId="3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/>
    </xf>
    <xf numFmtId="17" fontId="18" fillId="12" borderId="12" xfId="0" applyNumberFormat="1" applyFont="1" applyFill="1" applyBorder="1"/>
    <xf numFmtId="0" fontId="12" fillId="7" borderId="12" xfId="0" applyFont="1" applyFill="1" applyBorder="1" applyAlignment="1">
      <alignment horizontal="center" vertical="center"/>
    </xf>
    <xf numFmtId="43" fontId="17" fillId="0" borderId="8" xfId="0" applyNumberFormat="1" applyFont="1" applyBorder="1" applyAlignment="1">
      <alignment horizontal="center" vertical="center"/>
    </xf>
    <xf numFmtId="0" fontId="19" fillId="0" borderId="0" xfId="4" applyAlignment="1">
      <alignment vertical="center"/>
    </xf>
    <xf numFmtId="0" fontId="23" fillId="0" borderId="0" xfId="6" applyFont="1" applyAlignment="1">
      <alignment vertical="center"/>
    </xf>
    <xf numFmtId="0" fontId="19" fillId="0" borderId="0" xfId="4" applyAlignment="1">
      <alignment horizontal="center" vertical="center"/>
    </xf>
    <xf numFmtId="0" fontId="24" fillId="0" borderId="0" xfId="4" applyFont="1" applyAlignment="1">
      <alignment vertical="center"/>
    </xf>
    <xf numFmtId="0" fontId="25" fillId="0" borderId="0" xfId="6" applyFont="1" applyAlignment="1">
      <alignment vertical="center"/>
    </xf>
    <xf numFmtId="0" fontId="26" fillId="0" borderId="0" xfId="4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center"/>
    </xf>
    <xf numFmtId="0" fontId="21" fillId="0" borderId="17" xfId="5" applyFont="1" applyBorder="1" applyAlignment="1">
      <alignment horizontal="center" vertical="center"/>
    </xf>
    <xf numFmtId="0" fontId="23" fillId="0" borderId="17" xfId="6" applyFont="1" applyBorder="1" applyAlignment="1">
      <alignment vertical="center"/>
    </xf>
    <xf numFmtId="0" fontId="23" fillId="0" borderId="16" xfId="6" applyFont="1" applyBorder="1" applyAlignment="1">
      <alignment vertical="center"/>
    </xf>
    <xf numFmtId="0" fontId="19" fillId="0" borderId="17" xfId="4" applyBorder="1" applyAlignment="1">
      <alignment vertical="center"/>
    </xf>
    <xf numFmtId="0" fontId="23" fillId="0" borderId="18" xfId="6" applyFont="1" applyBorder="1" applyAlignment="1">
      <alignment vertical="center"/>
    </xf>
    <xf numFmtId="0" fontId="23" fillId="0" borderId="17" xfId="6" applyFont="1" applyBorder="1" applyAlignment="1">
      <alignment horizontal="left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43" fontId="4" fillId="7" borderId="0" xfId="3" applyFont="1" applyFill="1" applyAlignment="1">
      <alignment horizontal="center" vertical="center"/>
    </xf>
    <xf numFmtId="43" fontId="4" fillId="7" borderId="20" xfId="3" applyFont="1" applyFill="1" applyBorder="1" applyAlignment="1">
      <alignment horizontal="center" vertical="center"/>
    </xf>
    <xf numFmtId="17" fontId="14" fillId="16" borderId="0" xfId="0" applyNumberFormat="1" applyFont="1" applyFill="1" applyAlignment="1">
      <alignment horizontal="left" vertical="center"/>
    </xf>
    <xf numFmtId="17" fontId="13" fillId="8" borderId="1" xfId="0" applyNumberFormat="1" applyFont="1" applyFill="1" applyBorder="1"/>
    <xf numFmtId="43" fontId="13" fillId="0" borderId="0" xfId="0" applyNumberFormat="1" applyFont="1"/>
    <xf numFmtId="0" fontId="13" fillId="17" borderId="2" xfId="0" applyFont="1" applyFill="1" applyBorder="1"/>
    <xf numFmtId="0" fontId="13" fillId="17" borderId="7" xfId="0" applyFont="1" applyFill="1" applyBorder="1"/>
    <xf numFmtId="166" fontId="13" fillId="17" borderId="2" xfId="3" applyNumberFormat="1" applyFont="1" applyFill="1" applyBorder="1"/>
    <xf numFmtId="43" fontId="13" fillId="17" borderId="2" xfId="3" applyFont="1" applyFill="1" applyBorder="1" applyAlignment="1">
      <alignment vertical="center"/>
    </xf>
    <xf numFmtId="0" fontId="27" fillId="0" borderId="0" xfId="0" applyFont="1"/>
    <xf numFmtId="17" fontId="14" fillId="0" borderId="0" xfId="0" applyNumberFormat="1" applyFont="1" applyAlignment="1">
      <alignment horizontal="left" vertical="center"/>
    </xf>
    <xf numFmtId="43" fontId="13" fillId="17" borderId="16" xfId="3" applyFont="1" applyFill="1" applyBorder="1" applyAlignment="1">
      <alignment vertical="center"/>
    </xf>
    <xf numFmtId="10" fontId="13" fillId="0" borderId="17" xfId="2" applyNumberFormat="1" applyFont="1" applyBorder="1"/>
    <xf numFmtId="0" fontId="13" fillId="0" borderId="21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2" fillId="7" borderId="22" xfId="0" applyFont="1" applyFill="1" applyBorder="1" applyAlignment="1">
      <alignment horizontal="center" vertical="center" wrapText="1"/>
    </xf>
    <xf numFmtId="0" fontId="13" fillId="7" borderId="23" xfId="0" applyFont="1" applyFill="1" applyBorder="1" applyAlignment="1">
      <alignment horizontal="center" vertical="center" wrapText="1"/>
    </xf>
    <xf numFmtId="17" fontId="0" fillId="0" borderId="24" xfId="0" applyNumberFormat="1" applyBorder="1"/>
    <xf numFmtId="43" fontId="13" fillId="0" borderId="16" xfId="0" applyNumberFormat="1" applyFont="1" applyBorder="1"/>
    <xf numFmtId="43" fontId="13" fillId="0" borderId="16" xfId="3" applyFont="1" applyBorder="1"/>
    <xf numFmtId="167" fontId="0" fillId="0" borderId="0" xfId="3" applyNumberFormat="1" applyFont="1"/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left"/>
    </xf>
    <xf numFmtId="43" fontId="17" fillId="0" borderId="6" xfId="0" applyNumberFormat="1" applyFont="1" applyBorder="1" applyAlignment="1">
      <alignment horizontal="center" vertical="center" wrapText="1"/>
    </xf>
    <xf numFmtId="43" fontId="17" fillId="0" borderId="8" xfId="0" applyNumberFormat="1" applyFont="1" applyBorder="1" applyAlignment="1">
      <alignment horizontal="center" vertical="center" wrapText="1"/>
    </xf>
    <xf numFmtId="0" fontId="13" fillId="10" borderId="0" xfId="0" applyFont="1" applyFill="1" applyAlignment="1">
      <alignment horizontal="center"/>
    </xf>
    <xf numFmtId="0" fontId="13" fillId="0" borderId="0" xfId="0" applyFont="1"/>
    <xf numFmtId="0" fontId="15" fillId="9" borderId="3" xfId="0" applyFont="1" applyFill="1" applyBorder="1" applyAlignment="1">
      <alignment horizontal="center"/>
    </xf>
    <xf numFmtId="0" fontId="15" fillId="0" borderId="11" xfId="0" applyFont="1" applyBorder="1" applyAlignment="1">
      <alignment horizontal="center"/>
    </xf>
    <xf numFmtId="17" fontId="15" fillId="13" borderId="13" xfId="0" applyNumberFormat="1" applyFont="1" applyFill="1" applyBorder="1" applyAlignment="1">
      <alignment horizontal="center"/>
    </xf>
    <xf numFmtId="0" fontId="15" fillId="13" borderId="0" xfId="0" applyFont="1" applyFill="1" applyAlignment="1">
      <alignment horizontal="center" vertical="center"/>
    </xf>
    <xf numFmtId="17" fontId="15" fillId="13" borderId="15" xfId="0" applyNumberFormat="1" applyFont="1" applyFill="1" applyBorder="1" applyAlignment="1">
      <alignment horizontal="center"/>
    </xf>
    <xf numFmtId="0" fontId="15" fillId="13" borderId="13" xfId="0" applyFont="1" applyFill="1" applyBorder="1" applyAlignment="1">
      <alignment horizontal="center" vertical="center"/>
    </xf>
    <xf numFmtId="0" fontId="6" fillId="6" borderId="2" xfId="1" applyFont="1" applyFill="1" applyBorder="1" applyAlignment="1" applyProtection="1">
      <alignment horizontal="center" vertical="center" wrapText="1"/>
    </xf>
    <xf numFmtId="0" fontId="0" fillId="0" borderId="2" xfId="0" applyBorder="1"/>
    <xf numFmtId="0" fontId="6" fillId="3" borderId="2" xfId="1" applyFont="1" applyFill="1" applyBorder="1" applyAlignment="1" applyProtection="1">
      <alignment horizontal="center" vertical="center"/>
    </xf>
    <xf numFmtId="0" fontId="6" fillId="5" borderId="2" xfId="1" applyFont="1" applyFill="1" applyBorder="1" applyAlignment="1" applyProtection="1">
      <alignment horizontal="center" vertical="center" wrapText="1"/>
    </xf>
    <xf numFmtId="0" fontId="6" fillId="5" borderId="2" xfId="1" applyFont="1" applyFill="1" applyBorder="1" applyAlignment="1" applyProtection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6" fillId="3" borderId="2" xfId="1" applyFont="1" applyFill="1" applyBorder="1" applyAlignment="1" applyProtection="1">
      <alignment horizontal="center" vertical="center" wrapText="1"/>
    </xf>
    <xf numFmtId="0" fontId="0" fillId="10" borderId="0" xfId="0" applyFill="1" applyAlignment="1">
      <alignment horizontal="center"/>
    </xf>
    <xf numFmtId="0" fontId="0" fillId="0" borderId="0" xfId="0"/>
  </cellXfs>
  <cellStyles count="7">
    <cellStyle name="Comma" xfId="3" builtinId="3"/>
    <cellStyle name="Normal" xfId="0" builtinId="0"/>
    <cellStyle name="Normal 2" xfId="1" xr:uid="{00000000-0005-0000-0000-000001000000}"/>
    <cellStyle name="Normal 2 2" xfId="5" xr:uid="{BD47FAA2-B096-414E-87B1-F3C04DD78774}"/>
    <cellStyle name="Normal 3" xfId="4" xr:uid="{92A02C47-D6FE-4A95-848B-16812F9A99A2}"/>
    <cellStyle name="Normal 3 2" xfId="6" xr:uid="{02B7BBE3-16C2-4D0C-82FF-53060C06F1E1}"/>
    <cellStyle name="Percent" xfId="2" builtinId="5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ahoma"/>
        <family val="2"/>
        <scheme val="none"/>
      </font>
      <numFmt numFmtId="35" formatCode="_(* #,##0.00_);_(* \(#,##0.00\);_(* &quot;-&quot;??_);_(@_)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/>
    </dxf>
    <dxf>
      <alignment horizontal="center"/>
    </dxf>
    <dxf>
      <alignment horizontal="right"/>
    </dxf>
    <dxf>
      <alignment horizontal="right"/>
    </dxf>
    <dxf>
      <font>
        <strike val="0"/>
        <condense val="0"/>
        <extend val="0"/>
        <outline val="0"/>
        <shadow val="0"/>
        <vertAlign val="baseline"/>
        <sz val="10"/>
        <color theme="1"/>
        <name val="Tahoma"/>
        <family val="2"/>
      </font>
      <numFmt numFmtId="35" formatCode="_(* #,##0.00_);_(* \(#,##0.00\);_(* &quot;-&quot;??_);_(@_)"/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10"/>
        <color theme="1"/>
        <name val="Tahoma"/>
        <family val="2"/>
      </font>
    </dxf>
    <dxf>
      <numFmt numFmtId="168" formatCode="mmm\-yy"/>
    </dxf>
    <dxf>
      <alignment horizontal="center" vertical="center" textRotation="0" wrapText="0" indent="0" justifyLastLine="0" shrinkToFit="0" readingOrder="0"/>
    </dxf>
    <dxf>
      <numFmt numFmtId="168" formatCode="mmm\-yy"/>
      <alignment horizontal="center" vertical="center" textRotation="0" wrapText="0" indent="0" justifyLastLine="0" shrinkToFit="0" readingOrder="0"/>
    </dxf>
    <dxf>
      <numFmt numFmtId="168" formatCode="mmm\-yy"/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10"/>
        <color theme="1"/>
        <name val="Tahoma"/>
        <family val="2"/>
      </font>
      <numFmt numFmtId="167" formatCode="_(* #,##0.000_);_(* \(#,##0.000\);_(* &quot;-&quot;??_);_(@_)"/>
    </dxf>
    <dxf>
      <font>
        <strike val="0"/>
        <condense val="0"/>
        <extend val="0"/>
        <outline val="0"/>
        <shadow val="0"/>
        <vertAlign val="baseline"/>
        <sz val="10"/>
        <color theme="1"/>
        <name val="Tahoma"/>
        <family val="2"/>
      </font>
      <numFmt numFmtId="167" formatCode="_(* #,##0.000_);_(* \(#,##0.000\);_(* &quot;-&quot;??_);_(@_)"/>
    </dxf>
    <dxf>
      <numFmt numFmtId="167" formatCode="_(* #,##0.000_);_(* \(#,##0.000\);_(* &quot;-&quot;??_);_(@_)"/>
    </dxf>
    <dxf>
      <numFmt numFmtId="167" formatCode="_(* #,##0.000_);_(* \(#,##0.000\);_(* &quot;-&quot;??_);_(@_)"/>
    </dxf>
    <dxf>
      <numFmt numFmtId="168" formatCode="mmm\-yy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mmm\-yy"/>
      <alignment horizontal="right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Prompt"/>
        <charset val="222"/>
        <scheme val="none"/>
      </font>
      <fill>
        <patternFill patternType="none">
          <fgColor indexed="64"/>
          <bgColor rgb="FFFFC7CE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Prompt"/>
        <charset val="222"/>
        <scheme val="none"/>
      </font>
      <fill>
        <patternFill patternType="none">
          <fgColor indexed="64"/>
          <bgColor rgb="FFFFC7CE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name val="Prompt"/>
        <charset val="222"/>
        <scheme val="none"/>
      </font>
      <numFmt numFmtId="168" formatCode="mmm\-yy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name val="Prompt"/>
        <charset val="222"/>
        <scheme val="none"/>
      </font>
      <numFmt numFmtId="168" formatCode="mmm\-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Prompt"/>
        <charset val="22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rompt"/>
        <charset val="22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rompt"/>
        <charset val="222"/>
        <scheme val="none"/>
      </font>
      <numFmt numFmtId="14" formatCode="0.0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Prompt"/>
        <charset val="222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Prompt"/>
        <charset val="222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rompt"/>
        <charset val="222"/>
        <scheme val="none"/>
      </font>
      <numFmt numFmtId="35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rompt"/>
        <charset val="222"/>
        <scheme val="none"/>
      </font>
      <fill>
        <patternFill patternType="solid">
          <fgColor theme="4" tint="0.79998168889431442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Prompt"/>
        <charset val="222"/>
      </font>
      <numFmt numFmtId="165" formatCode="_(* #,##0_);_(* \(#,##0\);_(* &quot;-&quot;??_);_(@_)"/>
      <fill>
        <patternFill patternType="solid">
          <fgColor theme="4" tint="0.79998168889431442"/>
          <bgColor theme="5" tint="0.5999938962981048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mmm\-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rompt"/>
        <charset val="22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Prompt" panose="00000500000000000000" pitchFamily="2" charset="-34"/>
                <a:ea typeface="+mn-ea"/>
                <a:cs typeface="Prompt" panose="00000500000000000000" pitchFamily="2" charset="-34"/>
              </a:defRPr>
            </a:pPr>
            <a:r>
              <a:rPr lang="en-US"/>
              <a:t>UPS Load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Prompt" panose="00000500000000000000" pitchFamily="2" charset="-34"/>
              <a:ea typeface="+mn-ea"/>
              <a:cs typeface="Prompt" panose="00000500000000000000" pitchFamily="2" charset="-34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'Dashboard-FAC'!$F$3</c:f>
              <c:strCache>
                <c:ptCount val="1"/>
                <c:pt idx="0">
                  <c:v>Load (%)</c:v>
                </c:pt>
              </c:strCache>
            </c:strRef>
          </c:tx>
          <c:spPr>
            <a:solidFill>
              <a:schemeClr val="accent2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Prompt" panose="00000500000000000000" pitchFamily="2" charset="-34"/>
                    <a:ea typeface="+mn-ea"/>
                    <a:cs typeface="Prompt" panose="00000500000000000000" pitchFamily="2" charset="-34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'Dashboard-FAC'!$B$4:$B$7</c:f>
              <c:strCache>
                <c:ptCount val="4"/>
                <c:pt idx="0">
                  <c:v>UPS 11</c:v>
                </c:pt>
                <c:pt idx="1">
                  <c:v>UPS 13</c:v>
                </c:pt>
                <c:pt idx="2">
                  <c:v>UPS 14</c:v>
                </c:pt>
                <c:pt idx="3">
                  <c:v>UPS 15 (PPC44A, PPC44B)</c:v>
                </c:pt>
              </c:strCache>
            </c:strRef>
          </c:cat>
          <c:val>
            <c:numRef>
              <c:f>'Dashboard-FAC'!$F$4:$F$7</c:f>
              <c:numCache>
                <c:formatCode>0.00%</c:formatCode>
                <c:ptCount val="4"/>
                <c:pt idx="0">
                  <c:v>0.79249999999999998</c:v>
                </c:pt>
                <c:pt idx="1">
                  <c:v>0.75</c:v>
                </c:pt>
                <c:pt idx="2">
                  <c:v>0.35</c:v>
                </c:pt>
                <c:pt idx="3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4-47B3-9ACF-C1F1D692D37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467523216"/>
        <c:axId val="1467540976"/>
      </c:barChart>
      <c:catAx>
        <c:axId val="146752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Prompt" panose="00000500000000000000" pitchFamily="2" charset="-34"/>
                <a:ea typeface="+mn-ea"/>
                <a:cs typeface="Prompt" panose="00000500000000000000" pitchFamily="2" charset="-34"/>
              </a:defRPr>
            </a:pPr>
            <a:endParaRPr lang="en-US"/>
          </a:p>
        </c:txPr>
        <c:crossAx val="1467540976"/>
        <c:crosses val="autoZero"/>
        <c:auto val="1"/>
        <c:lblAlgn val="ctr"/>
        <c:lblOffset val="100"/>
        <c:noMultiLvlLbl val="0"/>
      </c:catAx>
      <c:valAx>
        <c:axId val="14675409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46752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1000">
          <a:latin typeface="Prompt" panose="00000500000000000000" pitchFamily="2" charset="-34"/>
          <a:cs typeface="Prompt" panose="00000500000000000000" pitchFamily="2" charset="-34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[RST_Dashboard.xlsm]Rack Capacity!PivotTable4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/>
              <a:t>Rack Capacity &amp; Utilization by Zone</a:t>
            </a:r>
            <a:endParaRPr lang="en-US" sz="18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>
              <a:lumMod val="75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65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lumMod val="75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7"/>
        <c:spPr>
          <a:solidFill>
            <a:schemeClr val="accent2">
              <a:lumMod val="75000"/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'Rack Capacity'!$B$1:$B$2</c:f>
              <c:strCache>
                <c:ptCount val="1"/>
                <c:pt idx="0">
                  <c:v>Reserved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1">
                  <a:lumMod val="75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7B80-4C86-AF4F-576065FDCD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'Rack Capacity'!$A$3:$A$7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'Rack Capacity'!$B$3:$B$7</c:f>
              <c:numCache>
                <c:formatCode>General</c:formatCode>
                <c:ptCount val="4"/>
                <c:pt idx="0">
                  <c:v>6</c:v>
                </c:pt>
                <c:pt idx="1">
                  <c:v>8</c:v>
                </c:pt>
                <c:pt idx="2">
                  <c:v>7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0-4C86-AF4F-576065FDCD56}"/>
            </c:ext>
          </c:extLst>
        </c:ser>
        <c:ser>
          <c:idx val="1"/>
          <c:order val="1"/>
          <c:tx>
            <c:strRef>
              <c:f>'Rack Capacity'!$C$1:$C$2</c:f>
              <c:strCache>
                <c:ptCount val="1"/>
                <c:pt idx="0">
                  <c:v>Pending Dismantle</c:v>
                </c:pt>
              </c:strCache>
            </c:strRef>
          </c:tx>
          <c:spPr>
            <a:solidFill>
              <a:schemeClr val="bg1">
                <a:lumMod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'Rack Capacity'!$A$3:$A$7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'Rack Capacity'!$C$3:$C$7</c:f>
              <c:numCache>
                <c:formatCode>General</c:formatCode>
                <c:ptCount val="4"/>
                <c:pt idx="0">
                  <c:v>5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80-4C86-AF4F-576065FDCD56}"/>
            </c:ext>
          </c:extLst>
        </c:ser>
        <c:ser>
          <c:idx val="2"/>
          <c:order val="2"/>
          <c:tx>
            <c:strRef>
              <c:f>'Rack Capacity'!$D$1:$D$2</c:f>
              <c:strCache>
                <c:ptCount val="1"/>
                <c:pt idx="0">
                  <c:v>In Use</c:v>
                </c:pt>
              </c:strCache>
            </c:strRef>
          </c:tx>
          <c:spPr>
            <a:solidFill>
              <a:schemeClr val="accent2">
                <a:lumMod val="7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'Rack Capacity'!$A$3:$A$7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'Rack Capacity'!$D$3:$D$7</c:f>
              <c:numCache>
                <c:formatCode>General</c:formatCode>
                <c:ptCount val="4"/>
                <c:pt idx="0">
                  <c:v>84</c:v>
                </c:pt>
                <c:pt idx="1">
                  <c:v>67</c:v>
                </c:pt>
                <c:pt idx="2">
                  <c:v>81</c:v>
                </c:pt>
                <c:pt idx="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80-4C86-AF4F-576065FDCD56}"/>
            </c:ext>
          </c:extLst>
        </c:ser>
        <c:ser>
          <c:idx val="3"/>
          <c:order val="3"/>
          <c:tx>
            <c:strRef>
              <c:f>'Rack Capacity'!$E$1:$E$2</c:f>
              <c:strCache>
                <c:ptCount val="1"/>
                <c:pt idx="0">
                  <c:v>Available</c:v>
                </c:pt>
              </c:strCache>
            </c:strRef>
          </c:tx>
          <c:spPr>
            <a:solidFill>
              <a:schemeClr val="accent6">
                <a:lumMod val="7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'Rack Capacity'!$A$3:$A$7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'Rack Capacity'!$E$3:$E$7</c:f>
              <c:numCache>
                <c:formatCode>General</c:formatCode>
                <c:ptCount val="4"/>
                <c:pt idx="0">
                  <c:v>3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80-4C86-AF4F-576065FDCD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2467583"/>
        <c:axId val="1469994959"/>
      </c:barChart>
      <c:catAx>
        <c:axId val="1952467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994959"/>
        <c:crosses val="autoZero"/>
        <c:auto val="1"/>
        <c:lblAlgn val="ctr"/>
        <c:lblOffset val="100"/>
        <c:noMultiLvlLbl val="0"/>
      </c:catAx>
      <c:valAx>
        <c:axId val="146999495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467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</xdr:colOff>
      <xdr:row>0</xdr:row>
      <xdr:rowOff>22860</xdr:rowOff>
    </xdr:from>
    <xdr:to>
      <xdr:col>13</xdr:col>
      <xdr:colOff>411480</xdr:colOff>
      <xdr:row>8</xdr:row>
      <xdr:rowOff>236220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9B8A2DC-2084-4990-31E7-DDCC576C84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438149</xdr:colOff>
      <xdr:row>2</xdr:row>
      <xdr:rowOff>3809</xdr:rowOff>
    </xdr:from>
    <xdr:to>
      <xdr:col>20</xdr:col>
      <xdr:colOff>344804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8FE177-8D70-440E-99D1-C4BB941E93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0.10714</cdr:x>
      <cdr:y>0.13357</cdr:y>
    </cdr:from>
    <cdr:to>
      <cdr:x>0.18519</cdr:x>
      <cdr:y>0.20926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443FCD-5ACE-172A-0E05-5D6CC3968C3A}"/>
            </a:ext>
          </a:extLst>
        </cdr:cNvPr>
        <cdr:cNvSpPr txBox="1"/>
      </cdr:nvSpPr>
      <cdr:spPr>
        <a:xfrm xmlns:a="http://schemas.openxmlformats.org/drawingml/2006/main">
          <a:off x="771525" y="571500"/>
          <a:ext cx="561975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0.82389</cdr:x>
      <cdr:y>0.93537</cdr:y>
    </cdr:from>
    <cdr:to>
      <cdr:x>0.9976</cdr:x>
      <cdr:y>0.99053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E48277F-22D4-F57D-897E-558F0F5CB85E}"/>
            </a:ext>
          </a:extLst>
        </cdr:cNvPr>
        <cdr:cNvSpPr txBox="1"/>
      </cdr:nvSpPr>
      <cdr:spPr>
        <a:xfrm xmlns:a="http://schemas.openxmlformats.org/drawingml/2006/main">
          <a:off x="7450456" y="4012811"/>
          <a:ext cx="1570898" cy="23660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65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Total</a:t>
          </a:r>
          <a:r>
            <a:rPr lang="en-US" sz="1100" b="1" baseline="0"/>
            <a:t> Racks = 358 Racks</a:t>
          </a:r>
          <a:endParaRPr lang="en-US" sz="1100" b="1"/>
        </a:p>
      </cdr:txBody>
    </cdr:sp>
  </cdr:relSizeAnchor>
  <cdr:relSizeAnchor xmlns:cdr="http://schemas.openxmlformats.org/drawingml/2006/chartDrawing">
    <cdr:from>
      <cdr:x>0.73195</cdr:x>
      <cdr:y>0.16948</cdr:y>
    </cdr:from>
    <cdr:to>
      <cdr:x>0.77515</cdr:x>
      <cdr:y>0.23653</cdr:y>
    </cdr:to>
    <cdr:sp macro="" textlink="'Rack Capacity'!$F$6">
      <cdr:nvSpPr>
        <cdr:cNvPr id="4" name="TextBox 2">
          <a:extLst xmlns:a="http://schemas.openxmlformats.org/drawingml/2006/main">
            <a:ext uri="{FF2B5EF4-FFF2-40B4-BE49-F238E27FC236}">
              <a16:creationId xmlns:a16="http://schemas.microsoft.com/office/drawing/2014/main" id="{2E48277F-22D4-F57D-897E-558F0F5CB85E}"/>
            </a:ext>
          </a:extLst>
        </cdr:cNvPr>
        <cdr:cNvSpPr txBox="1"/>
      </cdr:nvSpPr>
      <cdr:spPr>
        <a:xfrm xmlns:a="http://schemas.openxmlformats.org/drawingml/2006/main">
          <a:off x="6613493" y="727075"/>
          <a:ext cx="390278" cy="2876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02BC666-4C01-4FD9-B596-E59D89F1C78E}" type="TxLink">
            <a:rPr lang="en-US" sz="10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/>
            <a:t>94</a:t>
          </a:fld>
          <a:endParaRPr lang="en-US" sz="1100" b="1"/>
        </a:p>
      </cdr:txBody>
    </cdr:sp>
  </cdr:relSizeAnchor>
  <cdr:relSizeAnchor xmlns:cdr="http://schemas.openxmlformats.org/drawingml/2006/chartDrawing">
    <cdr:from>
      <cdr:x>0.5306</cdr:x>
      <cdr:y>0.1939</cdr:y>
    </cdr:from>
    <cdr:to>
      <cdr:x>0.5738</cdr:x>
      <cdr:y>0.26095</cdr:y>
    </cdr:to>
    <cdr:sp macro="" textlink="'Rack Capacity'!$F$5">
      <cdr:nvSpPr>
        <cdr:cNvPr id="5" name="TextBox 2">
          <a:extLst xmlns:a="http://schemas.openxmlformats.org/drawingml/2006/main">
            <a:ext uri="{FF2B5EF4-FFF2-40B4-BE49-F238E27FC236}">
              <a16:creationId xmlns:a16="http://schemas.microsoft.com/office/drawing/2014/main" id="{2E48277F-22D4-F57D-897E-558F0F5CB85E}"/>
            </a:ext>
          </a:extLst>
        </cdr:cNvPr>
        <cdr:cNvSpPr txBox="1"/>
      </cdr:nvSpPr>
      <cdr:spPr>
        <a:xfrm xmlns:a="http://schemas.openxmlformats.org/drawingml/2006/main">
          <a:off x="4794218" y="831850"/>
          <a:ext cx="390278" cy="2876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9B1ED77-CD94-4517-B4E4-74FDA59D25CD}" type="TxLink">
            <a:rPr lang="en-US" sz="10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/>
            <a:t>91</a:t>
          </a:fld>
          <a:endParaRPr lang="en-US" sz="1100" b="1"/>
        </a:p>
      </cdr:txBody>
    </cdr:sp>
  </cdr:relSizeAnchor>
  <cdr:relSizeAnchor xmlns:cdr="http://schemas.openxmlformats.org/drawingml/2006/chartDrawing">
    <cdr:from>
      <cdr:x>0.32503</cdr:x>
      <cdr:y>0.31157</cdr:y>
    </cdr:from>
    <cdr:to>
      <cdr:x>0.36823</cdr:x>
      <cdr:y>0.37863</cdr:y>
    </cdr:to>
    <cdr:sp macro="" textlink="'Rack Capacity'!$F$4">
      <cdr:nvSpPr>
        <cdr:cNvPr id="6" name="TextBox 2">
          <a:extLst xmlns:a="http://schemas.openxmlformats.org/drawingml/2006/main">
            <a:ext uri="{FF2B5EF4-FFF2-40B4-BE49-F238E27FC236}">
              <a16:creationId xmlns:a16="http://schemas.microsoft.com/office/drawing/2014/main" id="{2E48277F-22D4-F57D-897E-558F0F5CB85E}"/>
            </a:ext>
          </a:extLst>
        </cdr:cNvPr>
        <cdr:cNvSpPr txBox="1"/>
      </cdr:nvSpPr>
      <cdr:spPr>
        <a:xfrm xmlns:a="http://schemas.openxmlformats.org/drawingml/2006/main">
          <a:off x="2939285" y="1336675"/>
          <a:ext cx="390607" cy="2876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150BF2A-5E9A-4178-80AA-CD9793A1F1B9}" type="TxLink">
            <a:rPr lang="en-US" sz="10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/>
            <a:t>75</a:t>
          </a:fld>
          <a:endParaRPr lang="en-US" sz="1100" b="1"/>
        </a:p>
      </cdr:txBody>
    </cdr:sp>
  </cdr:relSizeAnchor>
  <cdr:relSizeAnchor xmlns:cdr="http://schemas.openxmlformats.org/drawingml/2006/chartDrawing">
    <cdr:from>
      <cdr:x>0.12259</cdr:x>
      <cdr:y>0.16504</cdr:y>
    </cdr:from>
    <cdr:to>
      <cdr:x>0.1658</cdr:x>
      <cdr:y>0.23209</cdr:y>
    </cdr:to>
    <cdr:sp macro="" textlink="">
      <cdr:nvSpPr>
        <cdr:cNvPr id="7" name="TextBox 2">
          <a:extLst xmlns:a="http://schemas.openxmlformats.org/drawingml/2006/main">
            <a:ext uri="{FF2B5EF4-FFF2-40B4-BE49-F238E27FC236}">
              <a16:creationId xmlns:a16="http://schemas.microsoft.com/office/drawing/2014/main" id="{2E48277F-22D4-F57D-897E-558F0F5CB85E}"/>
            </a:ext>
          </a:extLst>
        </cdr:cNvPr>
        <cdr:cNvSpPr txBox="1"/>
      </cdr:nvSpPr>
      <cdr:spPr>
        <a:xfrm xmlns:a="http://schemas.openxmlformats.org/drawingml/2006/main">
          <a:off x="1108557" y="708025"/>
          <a:ext cx="390772" cy="2876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A766CD0D-05E6-454A-B8CD-D8CB7EADAE88}" type="TxLink">
            <a:rPr lang="en-US" sz="1000" b="1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/>
            <a:t>98</a:t>
          </a:fld>
          <a:endParaRPr lang="en-US" sz="11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7620</xdr:rowOff>
        </xdr:from>
        <xdr:to>
          <xdr:col>7</xdr:col>
          <xdr:colOff>1661160</xdr:colOff>
          <xdr:row>10</xdr:row>
          <xdr:rowOff>121920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Tahoma"/>
                  <a:ea typeface="Tahoma"/>
                  <a:cs typeface="Tahoma"/>
                </a:rPr>
                <a:t>Save 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11</xdr:row>
          <xdr:rowOff>205740</xdr:rowOff>
        </xdr:from>
        <xdr:to>
          <xdr:col>7</xdr:col>
          <xdr:colOff>289560</xdr:colOff>
          <xdr:row>16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Tahoma"/>
                  <a:ea typeface="Tahoma"/>
                  <a:cs typeface="Tahoma"/>
                </a:rPr>
                <a:t>Save AIR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205740</xdr:colOff>
          <xdr:row>18</xdr:row>
          <xdr:rowOff>182880</xdr:rowOff>
        </xdr:from>
        <xdr:to>
          <xdr:col>5</xdr:col>
          <xdr:colOff>137160</xdr:colOff>
          <xdr:row>21</xdr:row>
          <xdr:rowOff>190500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Tahoma"/>
                  <a:ea typeface="Tahoma"/>
                  <a:cs typeface="Tahoma"/>
                </a:rPr>
                <a:t>Save 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24</xdr:row>
          <xdr:rowOff>22860</xdr:rowOff>
        </xdr:from>
        <xdr:to>
          <xdr:col>3</xdr:col>
          <xdr:colOff>1722120</xdr:colOff>
          <xdr:row>26</xdr:row>
          <xdr:rowOff>38100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FF"/>
                  </a:solidFill>
                  <a:latin typeface="Tahoma"/>
                  <a:ea typeface="Tahoma"/>
                  <a:cs typeface="Tahoma"/>
                </a:rPr>
                <a:t>Save Energy Cost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terfon.P" refreshedDate="46206.911265277777" createdVersion="8" refreshedVersion="8" minRefreshableVersion="3" recordCount="358" xr:uid="{7BB9BF26-1C20-462B-A5D6-87A66E50963D}">
  <cacheSource type="worksheet">
    <worksheetSource ref="A9:G367" sheet="Rack Capacity"/>
  </cacheSource>
  <cacheFields count="7">
    <cacheField name="Rack Zone" numFmtId="0">
      <sharedItems count="4">
        <s v="A"/>
        <s v="B"/>
        <s v="C"/>
        <s v="D"/>
      </sharedItems>
    </cacheField>
    <cacheField name="Rack ID" numFmtId="0">
      <sharedItems/>
    </cacheField>
    <cacheField name="Status" numFmtId="0">
      <sharedItems count="4">
        <s v="Pending Dismantle"/>
        <s v="In Use"/>
        <s v="Available"/>
        <s v="Reserved"/>
      </sharedItems>
    </cacheField>
    <cacheField name="Cabinet Size (WxD cm)" numFmtId="0">
      <sharedItems/>
    </cacheField>
    <cacheField name="Detail" numFmtId="0">
      <sharedItems containsBlank="1"/>
    </cacheField>
    <cacheField name="Device Type" numFmtId="0">
      <sharedItems/>
    </cacheField>
    <cacheField name="Remark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8">
  <r>
    <x v="0"/>
    <s v="AA01"/>
    <x v="0"/>
    <s v="60*100"/>
    <s v="RST4P-B6600-01"/>
    <s v="Storage"/>
    <m/>
  </r>
  <r>
    <x v="0"/>
    <s v="AA02"/>
    <x v="1"/>
    <s v="60*100"/>
    <s v="IP-IVR"/>
    <s v="Network"/>
    <m/>
  </r>
  <r>
    <x v="0"/>
    <s v="AA03"/>
    <x v="1"/>
    <s v="60*100"/>
    <s v="IP-IVR"/>
    <s v="Network"/>
    <m/>
  </r>
  <r>
    <x v="0"/>
    <s v="AA04"/>
    <x v="2"/>
    <s v="60*100"/>
    <m/>
    <s v="Server"/>
    <s v="To use this position, AA3 needs to be moved."/>
  </r>
  <r>
    <x v="0"/>
    <s v="AA05"/>
    <x v="1"/>
    <s v="60*120"/>
    <m/>
    <s v="Server"/>
    <m/>
  </r>
  <r>
    <x v="0"/>
    <s v="AA06"/>
    <x v="1"/>
    <s v="60*120"/>
    <m/>
    <s v="Server"/>
    <m/>
  </r>
  <r>
    <x v="0"/>
    <s v="AA07"/>
    <x v="1"/>
    <s v="60*120"/>
    <m/>
    <s v="Server"/>
    <m/>
  </r>
  <r>
    <x v="0"/>
    <s v="AA08"/>
    <x v="1"/>
    <s v="60*120"/>
    <m/>
    <s v="Server"/>
    <m/>
  </r>
  <r>
    <x v="0"/>
    <s v="AB01"/>
    <x v="1"/>
    <s v="80*90"/>
    <m/>
    <s v="Network"/>
    <s v="Patch Panel"/>
  </r>
  <r>
    <x v="0"/>
    <s v="AB02"/>
    <x v="1"/>
    <s v="60*100"/>
    <s v="AIR"/>
    <s v="Air"/>
    <m/>
  </r>
  <r>
    <x v="0"/>
    <s v="AB03"/>
    <x v="1"/>
    <s v="60*100"/>
    <m/>
    <s v="Server"/>
    <m/>
  </r>
  <r>
    <x v="0"/>
    <s v="AB04"/>
    <x v="1"/>
    <s v="60*100"/>
    <m/>
    <s v="Server"/>
    <m/>
  </r>
  <r>
    <x v="0"/>
    <s v="AB05"/>
    <x v="1"/>
    <s v="60*100"/>
    <m/>
    <s v="Server"/>
    <m/>
  </r>
  <r>
    <x v="0"/>
    <s v="AB06"/>
    <x v="1"/>
    <s v="60*120"/>
    <m/>
    <s v="Server"/>
    <m/>
  </r>
  <r>
    <x v="0"/>
    <s v="AB07"/>
    <x v="1"/>
    <s v="60*120"/>
    <m/>
    <s v="Server"/>
    <m/>
  </r>
  <r>
    <x v="0"/>
    <s v="AB08"/>
    <x v="1"/>
    <s v="60*120"/>
    <m/>
    <s v="Server"/>
    <m/>
  </r>
  <r>
    <x v="0"/>
    <s v="AC01"/>
    <x v="1"/>
    <s v="80*100"/>
    <m/>
    <s v="Network"/>
    <m/>
  </r>
  <r>
    <x v="0"/>
    <s v="AC02"/>
    <x v="1"/>
    <s v="60*100"/>
    <s v="NDR"/>
    <s v="Network"/>
    <m/>
  </r>
  <r>
    <x v="0"/>
    <s v="AC03"/>
    <x v="1"/>
    <s v="60*100"/>
    <s v="Datamart DA"/>
    <s v="Server"/>
    <m/>
  </r>
  <r>
    <x v="0"/>
    <s v="AC04"/>
    <x v="1"/>
    <s v="60*120"/>
    <s v="CBS-Postpaid (PR)"/>
    <s v="Server"/>
    <m/>
  </r>
  <r>
    <x v="0"/>
    <s v="AC05"/>
    <x v="1"/>
    <s v="60*100"/>
    <s v="AIR"/>
    <s v="Air"/>
    <m/>
  </r>
  <r>
    <x v="0"/>
    <s v="AC06"/>
    <x v="1"/>
    <s v="60*120"/>
    <s v="CBS-Postpaid (PR)"/>
    <s v="Server"/>
    <m/>
  </r>
  <r>
    <x v="0"/>
    <s v="AC07"/>
    <x v="1"/>
    <s v="60*120"/>
    <s v="CBS-Postpaid (PR)"/>
    <s v="Server"/>
    <m/>
  </r>
  <r>
    <x v="0"/>
    <s v="AC08"/>
    <x v="1"/>
    <s v="60*120"/>
    <s v="CBS-Postpaid (PR)"/>
    <s v="Server"/>
    <m/>
  </r>
  <r>
    <x v="0"/>
    <s v="AD01"/>
    <x v="1"/>
    <s v="80*90"/>
    <m/>
    <s v="Network"/>
    <s v="Patch Panel"/>
  </r>
  <r>
    <x v="0"/>
    <s v="AD02"/>
    <x v="1"/>
    <s v="60*120"/>
    <m/>
    <s v="Server"/>
    <m/>
  </r>
  <r>
    <x v="0"/>
    <s v="AD03"/>
    <x v="1"/>
    <s v="60*120"/>
    <m/>
    <s v="Server"/>
    <m/>
  </r>
  <r>
    <x v="0"/>
    <s v="AD04"/>
    <x v="1"/>
    <s v="60*120"/>
    <m/>
    <s v="Server"/>
    <m/>
  </r>
  <r>
    <x v="0"/>
    <s v="AD05"/>
    <x v="1"/>
    <s v="60*120"/>
    <m/>
    <s v="Server"/>
    <m/>
  </r>
  <r>
    <x v="0"/>
    <s v="AD06"/>
    <x v="1"/>
    <s v="60*100"/>
    <m/>
    <s v="Server"/>
    <m/>
  </r>
  <r>
    <x v="0"/>
    <s v="AD07"/>
    <x v="1"/>
    <s v="60*100"/>
    <m/>
    <s v="Server"/>
    <m/>
  </r>
  <r>
    <x v="0"/>
    <s v="AD08"/>
    <x v="1"/>
    <s v="60*100"/>
    <m/>
    <s v="Server"/>
    <m/>
  </r>
  <r>
    <x v="0"/>
    <s v="AE01"/>
    <x v="1"/>
    <s v="80*100"/>
    <m/>
    <s v="Network"/>
    <m/>
  </r>
  <r>
    <x v="0"/>
    <s v="AE02"/>
    <x v="1"/>
    <s v="60*100"/>
    <m/>
    <s v="Server"/>
    <m/>
  </r>
  <r>
    <x v="0"/>
    <s v="AE03"/>
    <x v="1"/>
    <s v="60*100"/>
    <m/>
    <s v="Server"/>
    <m/>
  </r>
  <r>
    <x v="0"/>
    <s v="AE04"/>
    <x v="1"/>
    <s v="60*120"/>
    <s v="DNA"/>
    <s v="Server"/>
    <m/>
  </r>
  <r>
    <x v="0"/>
    <s v="AE05"/>
    <x v="1"/>
    <s v="60*120"/>
    <s v="DNA"/>
    <s v="Server"/>
    <m/>
  </r>
  <r>
    <x v="0"/>
    <s v="AE06"/>
    <x v="1"/>
    <s v="60*120"/>
    <s v="DNA"/>
    <s v="Server"/>
    <m/>
  </r>
  <r>
    <x v="0"/>
    <s v="AE07"/>
    <x v="1"/>
    <s v="60*120"/>
    <s v="DNA"/>
    <s v="Server"/>
    <m/>
  </r>
  <r>
    <x v="0"/>
    <s v="AE08"/>
    <x v="1"/>
    <s v="60*120"/>
    <s v="DNA"/>
    <s v="Server"/>
    <m/>
  </r>
  <r>
    <x v="0"/>
    <s v="AF01"/>
    <x v="1"/>
    <s v="80*100"/>
    <m/>
    <s v="Network"/>
    <m/>
  </r>
  <r>
    <x v="0"/>
    <s v="AF02"/>
    <x v="1"/>
    <s v="60*100"/>
    <m/>
    <s v="Server"/>
    <m/>
  </r>
  <r>
    <x v="0"/>
    <s v="AF03"/>
    <x v="1"/>
    <s v="60*120"/>
    <s v="DNA"/>
    <s v="Server"/>
    <m/>
  </r>
  <r>
    <x v="0"/>
    <s v="AF04"/>
    <x v="1"/>
    <s v="60*100"/>
    <s v="DNA"/>
    <s v="Server"/>
    <m/>
  </r>
  <r>
    <x v="0"/>
    <s v="AF05"/>
    <x v="1"/>
    <s v="60*120"/>
    <s v="DNA"/>
    <s v="Server"/>
    <m/>
  </r>
  <r>
    <x v="0"/>
    <s v="AF06"/>
    <x v="1"/>
    <s v="60*120"/>
    <s v="DNA"/>
    <s v="Server"/>
    <m/>
  </r>
  <r>
    <x v="0"/>
    <s v="AF07"/>
    <x v="3"/>
    <s v="60*100"/>
    <m/>
    <s v="Server"/>
    <s v="Reserved for Infra"/>
  </r>
  <r>
    <x v="0"/>
    <s v="AF08"/>
    <x v="3"/>
    <s v="60*100"/>
    <m/>
    <s v="Server"/>
    <s v="Reserved for Infra"/>
  </r>
  <r>
    <x v="0"/>
    <s v="AG01"/>
    <x v="1"/>
    <s v="80*90"/>
    <m/>
    <s v="Network"/>
    <m/>
  </r>
  <r>
    <x v="0"/>
    <s v="AG02"/>
    <x v="1"/>
    <s v="60*100"/>
    <m/>
    <s v="SAN DIRECTOR"/>
    <m/>
  </r>
  <r>
    <x v="0"/>
    <s v="AG03"/>
    <x v="1"/>
    <s v="60*100"/>
    <m/>
    <s v="SAN DIRECTOR"/>
    <m/>
  </r>
  <r>
    <x v="0"/>
    <s v="AG04"/>
    <x v="1"/>
    <s v="60*100"/>
    <m/>
    <s v="SAN Switch"/>
    <m/>
  </r>
  <r>
    <x v="0"/>
    <s v="AG05"/>
    <x v="1"/>
    <s v="60*120"/>
    <s v="DNA"/>
    <s v="Server"/>
    <m/>
  </r>
  <r>
    <x v="0"/>
    <s v="AG06"/>
    <x v="1"/>
    <s v="60*120"/>
    <s v="DNA"/>
    <s v="Server"/>
    <m/>
  </r>
  <r>
    <x v="0"/>
    <s v="AG07"/>
    <x v="1"/>
    <s v="60*120"/>
    <s v="DNA"/>
    <s v="Server"/>
    <m/>
  </r>
  <r>
    <x v="0"/>
    <s v="AG08"/>
    <x v="3"/>
    <s v="60*100"/>
    <m/>
    <s v="Server"/>
    <s v="Reserved for Infra"/>
  </r>
  <r>
    <x v="0"/>
    <s v="AH01"/>
    <x v="1"/>
    <s v="80*120"/>
    <m/>
    <s v="Network"/>
    <m/>
  </r>
  <r>
    <x v="0"/>
    <s v="AH02"/>
    <x v="1"/>
    <s v="80*120"/>
    <m/>
    <s v="Network"/>
    <m/>
  </r>
  <r>
    <x v="0"/>
    <s v="AH03"/>
    <x v="0"/>
    <s v="80*120"/>
    <m/>
    <s v="Network"/>
    <m/>
  </r>
  <r>
    <x v="0"/>
    <s v="AH04"/>
    <x v="0"/>
    <s v="80*120"/>
    <m/>
    <s v="Network"/>
    <m/>
  </r>
  <r>
    <x v="0"/>
    <s v="AH05"/>
    <x v="0"/>
    <s v="80*120"/>
    <m/>
    <s v="Network"/>
    <m/>
  </r>
  <r>
    <x v="0"/>
    <s v="AH06"/>
    <x v="1"/>
    <s v="80*120"/>
    <s v="Vectra NDR"/>
    <s v="Network"/>
    <m/>
  </r>
  <r>
    <x v="0"/>
    <s v="AI01"/>
    <x v="1"/>
    <s v="80*90"/>
    <m/>
    <s v="Network"/>
    <m/>
  </r>
  <r>
    <x v="0"/>
    <s v="AI02"/>
    <x v="1"/>
    <s v="80*100"/>
    <m/>
    <s v="Network"/>
    <m/>
  </r>
  <r>
    <x v="0"/>
    <s v="AI03"/>
    <x v="1"/>
    <s v="80*100"/>
    <m/>
    <s v="Network"/>
    <m/>
  </r>
  <r>
    <x v="0"/>
    <s v="AI04"/>
    <x v="1"/>
    <s v="80*100"/>
    <m/>
    <s v="Network"/>
    <m/>
  </r>
  <r>
    <x v="0"/>
    <s v="AI05"/>
    <x v="1"/>
    <s v="80*100"/>
    <m/>
    <s v="Network"/>
    <m/>
  </r>
  <r>
    <x v="0"/>
    <s v="AI06"/>
    <x v="2"/>
    <s v="80*100"/>
    <m/>
    <s v="Network"/>
    <m/>
  </r>
  <r>
    <x v="0"/>
    <s v="AJ01"/>
    <x v="1"/>
    <s v="80*100"/>
    <m/>
    <s v="Network"/>
    <m/>
  </r>
  <r>
    <x v="0"/>
    <s v="AJ02"/>
    <x v="1"/>
    <s v="80*100"/>
    <m/>
    <s v="Network"/>
    <m/>
  </r>
  <r>
    <x v="0"/>
    <s v="AJ03"/>
    <x v="1"/>
    <s v="80*120"/>
    <m/>
    <s v="Network"/>
    <m/>
  </r>
  <r>
    <x v="0"/>
    <s v="AJ04"/>
    <x v="1"/>
    <s v="80*120"/>
    <m/>
    <s v="Network"/>
    <m/>
  </r>
  <r>
    <x v="0"/>
    <s v="AJ05"/>
    <x v="1"/>
    <s v="80*100"/>
    <m/>
    <s v="Network"/>
    <m/>
  </r>
  <r>
    <x v="0"/>
    <s v="AJ06"/>
    <x v="1"/>
    <s v="80*100"/>
    <m/>
    <s v="Network"/>
    <m/>
  </r>
  <r>
    <x v="0"/>
    <s v="AK01"/>
    <x v="1"/>
    <s v="80*90"/>
    <m/>
    <s v="Network"/>
    <m/>
  </r>
  <r>
    <x v="0"/>
    <s v="AK02"/>
    <x v="1"/>
    <s v="60*120"/>
    <m/>
    <s v="SAN DIRECTOR TEST"/>
    <m/>
  </r>
  <r>
    <x v="0"/>
    <s v="AK03"/>
    <x v="1"/>
    <s v="60*120"/>
    <m/>
    <s v="Server"/>
    <m/>
  </r>
  <r>
    <x v="0"/>
    <s v="AK04"/>
    <x v="1"/>
    <s v="60*100"/>
    <m/>
    <s v="Server"/>
    <m/>
  </r>
  <r>
    <x v="0"/>
    <s v="AK05"/>
    <x v="1"/>
    <s v="60*100"/>
    <m/>
    <s v="Server"/>
    <m/>
  </r>
  <r>
    <x v="0"/>
    <s v="AK06"/>
    <x v="1"/>
    <s v="60*100"/>
    <m/>
    <s v="Server"/>
    <m/>
  </r>
  <r>
    <x v="0"/>
    <s v="AK07"/>
    <x v="3"/>
    <s v="60*100"/>
    <m/>
    <s v="Server"/>
    <s v="Reserved for Infra"/>
  </r>
  <r>
    <x v="0"/>
    <s v="AK08"/>
    <x v="1"/>
    <s v="60*120"/>
    <s v="True Single Data Lake_Test"/>
    <s v="Server"/>
    <m/>
  </r>
  <r>
    <x v="0"/>
    <s v="AL01"/>
    <x v="1"/>
    <s v="80*100"/>
    <m/>
    <s v="Network"/>
    <m/>
  </r>
  <r>
    <x v="0"/>
    <s v="AL02"/>
    <x v="2"/>
    <s v="60*100"/>
    <s v="Old Storage"/>
    <s v="Server"/>
    <s v="For Testbed"/>
  </r>
  <r>
    <x v="0"/>
    <s v="AL03"/>
    <x v="1"/>
    <s v="60*100"/>
    <m/>
    <s v="Server"/>
    <m/>
  </r>
  <r>
    <x v="0"/>
    <s v="AL04"/>
    <x v="1"/>
    <s v="60*100"/>
    <m/>
    <s v="Server"/>
    <m/>
  </r>
  <r>
    <x v="0"/>
    <s v="AL05"/>
    <x v="1"/>
    <s v="60*100"/>
    <m/>
    <s v="Server"/>
    <m/>
  </r>
  <r>
    <x v="0"/>
    <s v="AL06"/>
    <x v="1"/>
    <s v="60*120"/>
    <s v="DNA"/>
    <s v="Server"/>
    <m/>
  </r>
  <r>
    <x v="0"/>
    <s v="AL07"/>
    <x v="1"/>
    <s v="60*120"/>
    <s v="DNA"/>
    <s v="Server"/>
    <m/>
  </r>
  <r>
    <x v="0"/>
    <s v="AL08"/>
    <x v="1"/>
    <s v="60*120"/>
    <s v="DNA"/>
    <s v="Server"/>
    <m/>
  </r>
  <r>
    <x v="0"/>
    <s v="AM01"/>
    <x v="0"/>
    <s v="60*100"/>
    <m/>
    <s v="Server"/>
    <m/>
  </r>
  <r>
    <x v="0"/>
    <s v="AM02"/>
    <x v="1"/>
    <s v="60*90"/>
    <s v="CBS-3G"/>
    <s v="Storage"/>
    <m/>
  </r>
  <r>
    <x v="0"/>
    <s v="AM03"/>
    <x v="1"/>
    <s v="60*100"/>
    <s v="CBS-2G, CBS-3G"/>
    <s v="Server"/>
    <m/>
  </r>
  <r>
    <x v="0"/>
    <s v="AM04"/>
    <x v="1"/>
    <s v="60*90"/>
    <s v="CBS-2G, CBS-3G"/>
    <s v="Storage"/>
    <m/>
  </r>
  <r>
    <x v="0"/>
    <s v="AM05"/>
    <x v="1"/>
    <s v="60*90"/>
    <s v="CBS-2G"/>
    <s v="Network"/>
    <m/>
  </r>
  <r>
    <x v="0"/>
    <s v="AM06"/>
    <x v="1"/>
    <s v="60*100"/>
    <s v="CBS-3G"/>
    <s v="Server"/>
    <m/>
  </r>
  <r>
    <x v="0"/>
    <s v="AM07"/>
    <x v="3"/>
    <s v="60*100"/>
    <m/>
    <s v="Server"/>
    <s v="Reserved for Infra_Testbed"/>
  </r>
  <r>
    <x v="0"/>
    <s v="AM08"/>
    <x v="3"/>
    <s v="60*100"/>
    <m/>
    <s v="Server"/>
    <s v="Reserved for Infra_Testbed"/>
  </r>
  <r>
    <x v="1"/>
    <s v="BA01"/>
    <x v="1"/>
    <s v="60*100"/>
    <m/>
    <s v="Server"/>
    <m/>
  </r>
  <r>
    <x v="1"/>
    <s v="BA02"/>
    <x v="1"/>
    <s v="60*100"/>
    <m/>
    <s v="Server"/>
    <m/>
  </r>
  <r>
    <x v="1"/>
    <s v="BA03"/>
    <x v="1"/>
    <s v="60*120"/>
    <s v="CBS-Prepaid (Testbed)"/>
    <s v="Server"/>
    <m/>
  </r>
  <r>
    <x v="1"/>
    <s v="BA04"/>
    <x v="1"/>
    <s v="60*120"/>
    <s v="CBS-Prepaid (Testbed)"/>
    <s v="Server"/>
    <m/>
  </r>
  <r>
    <x v="1"/>
    <s v="BA05"/>
    <x v="3"/>
    <s v="60*100"/>
    <m/>
    <s v="Server"/>
    <s v="Reserved for Infra"/>
  </r>
  <r>
    <x v="1"/>
    <s v="BA06"/>
    <x v="3"/>
    <s v="60*100"/>
    <m/>
    <s v="Server"/>
    <s v="Reserved for Infra"/>
  </r>
  <r>
    <x v="1"/>
    <s v="BB01"/>
    <x v="1"/>
    <s v="60*120"/>
    <m/>
    <s v="Server"/>
    <m/>
  </r>
  <r>
    <x v="1"/>
    <s v="BB02"/>
    <x v="1"/>
    <s v="60*100"/>
    <m/>
    <s v="Storage"/>
    <m/>
  </r>
  <r>
    <x v="1"/>
    <s v="BB03"/>
    <x v="1"/>
    <s v="60*120"/>
    <s v="CBS-Prepaid (Testbed)"/>
    <s v="Server"/>
    <m/>
  </r>
  <r>
    <x v="1"/>
    <s v="BB04"/>
    <x v="1"/>
    <s v="60*120"/>
    <s v="CBS-Prepaid (Testbed)"/>
    <s v="Server"/>
    <m/>
  </r>
  <r>
    <x v="1"/>
    <s v="BB05"/>
    <x v="1"/>
    <s v="60*100"/>
    <m/>
    <s v="Server"/>
    <m/>
  </r>
  <r>
    <x v="1"/>
    <s v="BB06"/>
    <x v="1"/>
    <s v="80*100"/>
    <m/>
    <s v="Network"/>
    <m/>
  </r>
  <r>
    <x v="1"/>
    <s v="BC01"/>
    <x v="1"/>
    <s v="60*120"/>
    <s v="DNA"/>
    <s v="Server"/>
    <m/>
  </r>
  <r>
    <x v="1"/>
    <s v="BC02"/>
    <x v="1"/>
    <s v="60*120"/>
    <s v="DNA"/>
    <s v="Server"/>
    <m/>
  </r>
  <r>
    <x v="1"/>
    <s v="BC03"/>
    <x v="1"/>
    <s v="60*120"/>
    <s v="DNA"/>
    <s v="Server"/>
    <m/>
  </r>
  <r>
    <x v="1"/>
    <s v="BC04"/>
    <x v="1"/>
    <s v="60*120"/>
    <s v="DNA"/>
    <s v="Server"/>
    <m/>
  </r>
  <r>
    <x v="1"/>
    <s v="BC05"/>
    <x v="1"/>
    <s v="60*120"/>
    <s v="DNA"/>
    <s v="Server"/>
    <m/>
  </r>
  <r>
    <x v="1"/>
    <s v="BC06"/>
    <x v="1"/>
    <s v="60*120"/>
    <s v="DNA"/>
    <s v="Server"/>
    <m/>
  </r>
  <r>
    <x v="1"/>
    <s v="BC07"/>
    <x v="1"/>
    <s v="60*120"/>
    <s v="DNA"/>
    <s v="Server"/>
    <m/>
  </r>
  <r>
    <x v="1"/>
    <s v="BD01"/>
    <x v="1"/>
    <s v="60*120"/>
    <s v="DNA"/>
    <s v="Server"/>
    <m/>
  </r>
  <r>
    <x v="1"/>
    <s v="BD02"/>
    <x v="1"/>
    <s v="60*100"/>
    <s v="DNA"/>
    <s v="Server"/>
    <m/>
  </r>
  <r>
    <x v="1"/>
    <s v="BD03"/>
    <x v="1"/>
    <s v="60*100"/>
    <s v="DNA"/>
    <s v="Server"/>
    <m/>
  </r>
  <r>
    <x v="1"/>
    <s v="BD04"/>
    <x v="1"/>
    <s v="60*120"/>
    <s v="DNA"/>
    <s v="Server"/>
    <m/>
  </r>
  <r>
    <x v="1"/>
    <s v="BD05"/>
    <x v="1"/>
    <s v="60*120"/>
    <s v="DNA"/>
    <s v="Server"/>
    <m/>
  </r>
  <r>
    <x v="1"/>
    <s v="BD06"/>
    <x v="1"/>
    <s v="60*90"/>
    <m/>
    <s v="ODF"/>
    <m/>
  </r>
  <r>
    <x v="1"/>
    <s v="BE01"/>
    <x v="1"/>
    <s v="60*120"/>
    <s v="DNA"/>
    <s v="Server"/>
    <m/>
  </r>
  <r>
    <x v="1"/>
    <s v="BE02"/>
    <x v="1"/>
    <s v="60*120"/>
    <s v="DNA"/>
    <s v="Server"/>
    <m/>
  </r>
  <r>
    <x v="1"/>
    <s v="BE03"/>
    <x v="1"/>
    <s v="60*120"/>
    <s v="DNA"/>
    <s v="Server"/>
    <m/>
  </r>
  <r>
    <x v="1"/>
    <s v="BE04"/>
    <x v="1"/>
    <s v="60*120"/>
    <s v="DNA"/>
    <s v="Server"/>
    <m/>
  </r>
  <r>
    <x v="1"/>
    <s v="BE05"/>
    <x v="1"/>
    <s v="60*120"/>
    <s v="DNA"/>
    <s v="Server"/>
    <m/>
  </r>
  <r>
    <x v="1"/>
    <s v="BE06"/>
    <x v="1"/>
    <s v="60*120"/>
    <s v="DNA"/>
    <s v="Server"/>
    <m/>
  </r>
  <r>
    <x v="1"/>
    <s v="BE07"/>
    <x v="1"/>
    <s v="60*120"/>
    <s v="DNA"/>
    <s v="Server"/>
    <m/>
  </r>
  <r>
    <x v="1"/>
    <s v="BF01"/>
    <x v="1"/>
    <s v="60*120"/>
    <s v="DNA"/>
    <s v="Server"/>
    <m/>
  </r>
  <r>
    <x v="1"/>
    <s v="BF02"/>
    <x v="1"/>
    <s v="60*120"/>
    <s v="DNA"/>
    <s v="Server"/>
    <m/>
  </r>
  <r>
    <x v="1"/>
    <s v="BF03"/>
    <x v="1"/>
    <s v="60*120"/>
    <s v="DNA"/>
    <s v="Server"/>
    <m/>
  </r>
  <r>
    <x v="1"/>
    <s v="BF04"/>
    <x v="1"/>
    <s v="60*120"/>
    <s v="DNA"/>
    <s v="Server"/>
    <m/>
  </r>
  <r>
    <x v="1"/>
    <s v="BF05"/>
    <x v="1"/>
    <s v="60*120"/>
    <s v="DNA"/>
    <s v="Server"/>
    <m/>
  </r>
  <r>
    <x v="1"/>
    <s v="BF06"/>
    <x v="1"/>
    <s v="60*120"/>
    <s v="DNA"/>
    <s v="Server"/>
    <m/>
  </r>
  <r>
    <x v="1"/>
    <s v="BF07"/>
    <x v="1"/>
    <s v="60*120"/>
    <s v="DNA"/>
    <s v="Network"/>
    <m/>
  </r>
  <r>
    <x v="1"/>
    <s v="BG01"/>
    <x v="1"/>
    <s v="80*120"/>
    <m/>
    <s v="Network"/>
    <m/>
  </r>
  <r>
    <x v="1"/>
    <s v="BG02"/>
    <x v="1"/>
    <s v="80*120"/>
    <m/>
    <s v="Network"/>
    <m/>
  </r>
  <r>
    <x v="1"/>
    <s v="BG03"/>
    <x v="1"/>
    <s v="80*100"/>
    <m/>
    <s v="Network"/>
    <m/>
  </r>
  <r>
    <x v="1"/>
    <s v="BG04"/>
    <x v="1"/>
    <s v="80*100"/>
    <m/>
    <s v="Network"/>
    <m/>
  </r>
  <r>
    <x v="1"/>
    <s v="BG05"/>
    <x v="1"/>
    <s v="80*100"/>
    <m/>
    <s v="Network"/>
    <m/>
  </r>
  <r>
    <x v="1"/>
    <s v="BH01"/>
    <x v="1"/>
    <s v="80*90"/>
    <m/>
    <s v="Network"/>
    <m/>
  </r>
  <r>
    <x v="1"/>
    <s v="BH02"/>
    <x v="1"/>
    <s v="80*90"/>
    <m/>
    <s v="Network"/>
    <m/>
  </r>
  <r>
    <x v="1"/>
    <s v="BH03"/>
    <x v="1"/>
    <s v="80*90"/>
    <m/>
    <s v="Network"/>
    <m/>
  </r>
  <r>
    <x v="1"/>
    <s v="BH04"/>
    <x v="1"/>
    <s v="80*90"/>
    <m/>
    <s v="Network"/>
    <m/>
  </r>
  <r>
    <x v="1"/>
    <s v="BH05"/>
    <x v="1"/>
    <s v="80*90"/>
    <m/>
    <s v="Network"/>
    <m/>
  </r>
  <r>
    <x v="1"/>
    <s v="BH06"/>
    <x v="1"/>
    <s v="80*90"/>
    <m/>
    <s v="Network"/>
    <m/>
  </r>
  <r>
    <x v="1"/>
    <s v="BI01"/>
    <x v="1"/>
    <s v="80*120"/>
    <m/>
    <s v="Network"/>
    <m/>
  </r>
  <r>
    <x v="1"/>
    <s v="BI02"/>
    <x v="1"/>
    <s v="80*100"/>
    <m/>
    <s v="Network"/>
    <m/>
  </r>
  <r>
    <x v="1"/>
    <s v="BI03"/>
    <x v="1"/>
    <s v="80*100"/>
    <m/>
    <s v="Network"/>
    <m/>
  </r>
  <r>
    <x v="1"/>
    <s v="BI04"/>
    <x v="1"/>
    <s v="80*100"/>
    <m/>
    <s v="Network"/>
    <m/>
  </r>
  <r>
    <x v="1"/>
    <s v="BI05"/>
    <x v="1"/>
    <s v="60*100"/>
    <m/>
    <s v="Server"/>
    <m/>
  </r>
  <r>
    <x v="1"/>
    <s v="BJ01"/>
    <x v="1"/>
    <s v="80*90"/>
    <m/>
    <s v="Network"/>
    <m/>
  </r>
  <r>
    <x v="1"/>
    <s v="BJ02"/>
    <x v="1"/>
    <s v="80*100"/>
    <m/>
    <s v="Network"/>
    <m/>
  </r>
  <r>
    <x v="1"/>
    <s v="BJ03"/>
    <x v="1"/>
    <s v="80*90"/>
    <m/>
    <s v="Network"/>
    <m/>
  </r>
  <r>
    <x v="1"/>
    <s v="BJ04"/>
    <x v="1"/>
    <s v="80*90"/>
    <m/>
    <s v="Network"/>
    <m/>
  </r>
  <r>
    <x v="1"/>
    <s v="BJ05"/>
    <x v="1"/>
    <s v="80*90"/>
    <m/>
    <s v="Network"/>
    <m/>
  </r>
  <r>
    <x v="1"/>
    <s v="BJ06"/>
    <x v="1"/>
    <s v="80*90"/>
    <m/>
    <s v="Network"/>
    <m/>
  </r>
  <r>
    <x v="1"/>
    <s v="BK01"/>
    <x v="1"/>
    <s v="60*100"/>
    <m/>
    <s v="ODF"/>
    <m/>
  </r>
  <r>
    <x v="1"/>
    <s v="BK02"/>
    <x v="3"/>
    <s v="60*60"/>
    <m/>
    <s v="ODF"/>
    <s v="Reserved for ODF"/>
  </r>
  <r>
    <x v="1"/>
    <s v="BK03"/>
    <x v="3"/>
    <s v="60*60"/>
    <m/>
    <s v="ODF"/>
    <s v="Reserved for ODF"/>
  </r>
  <r>
    <x v="1"/>
    <s v="BK04"/>
    <x v="3"/>
    <s v="60*60"/>
    <m/>
    <s v="ODF"/>
    <s v="Reserved for ODF"/>
  </r>
  <r>
    <x v="1"/>
    <s v="BK05"/>
    <x v="3"/>
    <s v="60*60"/>
    <m/>
    <s v="ODF"/>
    <s v="Reserved for ODF"/>
  </r>
  <r>
    <x v="1"/>
    <s v="BK06"/>
    <x v="3"/>
    <s v="60*60"/>
    <m/>
    <s v="ODF"/>
    <s v="Reserved for ODF"/>
  </r>
  <r>
    <x v="1"/>
    <s v="BK07"/>
    <x v="3"/>
    <s v="60*60"/>
    <m/>
    <s v="ODF"/>
    <s v="Reserved for ODF"/>
  </r>
  <r>
    <x v="1"/>
    <s v="BL01"/>
    <x v="1"/>
    <s v="60*90"/>
    <m/>
    <s v="SCADA"/>
    <m/>
  </r>
  <r>
    <x v="1"/>
    <s v="BL02"/>
    <x v="1"/>
    <s v="60*90"/>
    <s v="U2000"/>
    <s v="Network"/>
    <m/>
  </r>
  <r>
    <x v="1"/>
    <s v="BL03"/>
    <x v="1"/>
    <s v="60*100"/>
    <s v="U2000"/>
    <s v="Server"/>
    <m/>
  </r>
  <r>
    <x v="1"/>
    <s v="BL04"/>
    <x v="1"/>
    <s v="60*90"/>
    <s v="CBS-3G"/>
    <s v="Network"/>
    <m/>
  </r>
  <r>
    <x v="1"/>
    <s v="BL05"/>
    <x v="1"/>
    <s v="60*90"/>
    <s v="CBS-3G"/>
    <s v="Network"/>
    <m/>
  </r>
  <r>
    <x v="1"/>
    <s v="BL06"/>
    <x v="1"/>
    <s v="60*100"/>
    <m/>
    <s v="Server"/>
    <m/>
  </r>
  <r>
    <x v="1"/>
    <s v="BL07"/>
    <x v="1"/>
    <s v="80*100"/>
    <m/>
    <s v="Network"/>
    <m/>
  </r>
  <r>
    <x v="2"/>
    <s v="CA01"/>
    <x v="1"/>
    <s v="80*100"/>
    <m/>
    <s v="Network"/>
    <m/>
  </r>
  <r>
    <x v="2"/>
    <s v="CA02"/>
    <x v="3"/>
    <s v="60*100"/>
    <m/>
    <s v="Server"/>
    <s v="Reserved for Infra"/>
  </r>
  <r>
    <x v="2"/>
    <s v="CA03"/>
    <x v="1"/>
    <s v="60*100"/>
    <m/>
    <s v="Server"/>
    <m/>
  </r>
  <r>
    <x v="2"/>
    <s v="CA04"/>
    <x v="1"/>
    <s v="60*100"/>
    <m/>
    <s v="Server"/>
    <m/>
  </r>
  <r>
    <x v="2"/>
    <s v="CA05"/>
    <x v="1"/>
    <s v="60*100"/>
    <m/>
    <s v="Server"/>
    <m/>
  </r>
  <r>
    <x v="2"/>
    <s v="CA06"/>
    <x v="1"/>
    <s v="60*100"/>
    <m/>
    <s v="Server"/>
    <m/>
  </r>
  <r>
    <x v="2"/>
    <s v="CA07"/>
    <x v="1"/>
    <s v="60*120"/>
    <s v="True Single Data Lake"/>
    <s v="Server"/>
    <m/>
  </r>
  <r>
    <x v="2"/>
    <s v="CA08"/>
    <x v="1"/>
    <s v="80*100"/>
    <s v="True Single Data Lake"/>
    <s v="Network"/>
    <m/>
  </r>
  <r>
    <x v="2"/>
    <s v="CB01"/>
    <x v="1"/>
    <s v="80*100"/>
    <m/>
    <s v="Network"/>
    <m/>
  </r>
  <r>
    <x v="2"/>
    <s v="CB02"/>
    <x v="1"/>
    <s v="60*120"/>
    <s v="True Single Data Lake"/>
    <s v="Server"/>
    <m/>
  </r>
  <r>
    <x v="2"/>
    <s v="CB03"/>
    <x v="1"/>
    <s v="60*120"/>
    <s v="True Single Data Lake"/>
    <s v="Server"/>
    <m/>
  </r>
  <r>
    <x v="2"/>
    <s v="CB04"/>
    <x v="1"/>
    <s v="60*100"/>
    <m/>
    <s v="Server"/>
    <m/>
  </r>
  <r>
    <x v="2"/>
    <s v="CB05"/>
    <x v="1"/>
    <s v="60*100"/>
    <m/>
    <s v="Server"/>
    <m/>
  </r>
  <r>
    <x v="2"/>
    <s v="CB06"/>
    <x v="1"/>
    <s v="60*100"/>
    <m/>
    <s v="Server"/>
    <m/>
  </r>
  <r>
    <x v="2"/>
    <s v="CB07"/>
    <x v="1"/>
    <s v="60*120"/>
    <s v="True Single Data Lake"/>
    <s v="Server"/>
    <m/>
  </r>
  <r>
    <x v="2"/>
    <s v="CB08"/>
    <x v="1"/>
    <s v="60*120"/>
    <s v="True Single Data Lake"/>
    <s v="Server"/>
    <m/>
  </r>
  <r>
    <x v="2"/>
    <s v="CC01"/>
    <x v="1"/>
    <s v="80*100"/>
    <m/>
    <s v="Network"/>
    <m/>
  </r>
  <r>
    <x v="2"/>
    <s v="CC02"/>
    <x v="1"/>
    <s v="60*100"/>
    <m/>
    <s v="Server"/>
    <m/>
  </r>
  <r>
    <x v="2"/>
    <s v="CC03"/>
    <x v="1"/>
    <s v="60*100"/>
    <m/>
    <s v="Server"/>
    <m/>
  </r>
  <r>
    <x v="2"/>
    <s v="CC04"/>
    <x v="1"/>
    <s v="60*100"/>
    <m/>
    <s v="Server"/>
    <m/>
  </r>
  <r>
    <x v="2"/>
    <s v="CC05"/>
    <x v="1"/>
    <s v="60*100"/>
    <m/>
    <s v="Server"/>
    <m/>
  </r>
  <r>
    <x v="2"/>
    <s v="CC06"/>
    <x v="1"/>
    <s v="60*100"/>
    <m/>
    <s v="Server"/>
    <m/>
  </r>
  <r>
    <x v="2"/>
    <s v="CC07"/>
    <x v="1"/>
    <s v="60*100"/>
    <m/>
    <s v="Server"/>
    <m/>
  </r>
  <r>
    <x v="2"/>
    <s v="CC08"/>
    <x v="3"/>
    <s v="60*100"/>
    <m/>
    <s v="Server"/>
    <s v="Reserved for Infra"/>
  </r>
  <r>
    <x v="2"/>
    <s v="CD01"/>
    <x v="1"/>
    <s v="60*120"/>
    <s v="CBS-Postpaid (PR)"/>
    <s v="Server"/>
    <m/>
  </r>
  <r>
    <x v="2"/>
    <s v="CD02"/>
    <x v="1"/>
    <s v="60*120"/>
    <m/>
    <s v="Server"/>
    <m/>
  </r>
  <r>
    <x v="2"/>
    <s v="CD03"/>
    <x v="1"/>
    <s v="60*120"/>
    <m/>
    <s v="Server"/>
    <m/>
  </r>
  <r>
    <x v="2"/>
    <s v="CD04"/>
    <x v="1"/>
    <s v="60*120"/>
    <m/>
    <s v="Server"/>
    <m/>
  </r>
  <r>
    <x v="2"/>
    <s v="CD05"/>
    <x v="1"/>
    <s v="60*120"/>
    <s v="CBS-Postpaid (PR)"/>
    <s v="Server"/>
    <m/>
  </r>
  <r>
    <x v="2"/>
    <s v="CD06"/>
    <x v="1"/>
    <s v="60*120"/>
    <s v="CBS-Postpaid (PR)"/>
    <s v="Server"/>
    <m/>
  </r>
  <r>
    <x v="2"/>
    <s v="CD07"/>
    <x v="1"/>
    <s v="60*120"/>
    <s v="CBS-Postpaid (PR)"/>
    <s v="Server"/>
    <m/>
  </r>
  <r>
    <x v="2"/>
    <s v="CD08"/>
    <x v="1"/>
    <s v="60*120"/>
    <s v="CBS-Postpaid (PR)"/>
    <s v="Server"/>
    <m/>
  </r>
  <r>
    <x v="2"/>
    <s v="CE01"/>
    <x v="1"/>
    <s v="80*100"/>
    <m/>
    <s v="Network"/>
    <m/>
  </r>
  <r>
    <x v="2"/>
    <s v="CE02"/>
    <x v="1"/>
    <s v="60*100"/>
    <m/>
    <s v="Server"/>
    <m/>
  </r>
  <r>
    <x v="2"/>
    <s v="CE03"/>
    <x v="1"/>
    <s v="60*120"/>
    <s v="PRIMERA_04"/>
    <s v="Storage"/>
    <m/>
  </r>
  <r>
    <x v="2"/>
    <s v="CE04"/>
    <x v="1"/>
    <s v="60*100"/>
    <s v="AIR"/>
    <s v="Air"/>
    <m/>
  </r>
  <r>
    <x v="2"/>
    <s v="CE05"/>
    <x v="1"/>
    <s v="60*100"/>
    <m/>
    <s v="Server"/>
    <m/>
  </r>
  <r>
    <x v="2"/>
    <s v="CE06"/>
    <x v="1"/>
    <s v="60*100"/>
    <m/>
    <s v="Server"/>
    <m/>
  </r>
  <r>
    <x v="2"/>
    <s v="CE07"/>
    <x v="1"/>
    <s v="60*120"/>
    <s v="CBS-Postpaid (PR)"/>
    <s v="Server"/>
    <m/>
  </r>
  <r>
    <x v="2"/>
    <s v="CE08"/>
    <x v="1"/>
    <s v="60*120"/>
    <s v="CBS-Postpaid (PR)"/>
    <s v="Server"/>
    <m/>
  </r>
  <r>
    <x v="2"/>
    <s v="CF01"/>
    <x v="1"/>
    <s v="60*100"/>
    <m/>
    <s v="SAN DIRECTOR"/>
    <m/>
  </r>
  <r>
    <x v="2"/>
    <s v="CF02"/>
    <x v="1"/>
    <s v="60*100"/>
    <m/>
    <s v="Server"/>
    <m/>
  </r>
  <r>
    <x v="2"/>
    <s v="CF03"/>
    <x v="1"/>
    <s v="60*120"/>
    <s v="PRIMERA_01"/>
    <s v="Storage"/>
    <m/>
  </r>
  <r>
    <x v="2"/>
    <s v="CF04"/>
    <x v="1"/>
    <s v="60*120"/>
    <s v="ALLETRA_02"/>
    <s v="Storage"/>
    <m/>
  </r>
  <r>
    <x v="2"/>
    <s v="CF05"/>
    <x v="1"/>
    <s v="60*120"/>
    <s v="ALLETRA_01"/>
    <s v="Storage"/>
    <m/>
  </r>
  <r>
    <x v="2"/>
    <s v="CF06"/>
    <x v="1"/>
    <s v="60*120"/>
    <s v="3PAR_04"/>
    <s v="Storage"/>
    <m/>
  </r>
  <r>
    <x v="2"/>
    <s v="CF07"/>
    <x v="1"/>
    <s v="60*120"/>
    <m/>
    <s v="Storage"/>
    <m/>
  </r>
  <r>
    <x v="2"/>
    <s v="CF08"/>
    <x v="1"/>
    <s v="60*120"/>
    <s v="3PAR_06"/>
    <s v="Storage"/>
    <m/>
  </r>
  <r>
    <x v="2"/>
    <s v="CG01"/>
    <x v="1"/>
    <s v="60*100"/>
    <s v="CBS-3G"/>
    <s v="Storage"/>
    <m/>
  </r>
  <r>
    <x v="2"/>
    <s v="CG02"/>
    <x v="1"/>
    <s v="60*120"/>
    <s v="CBS-Postpaid (Testbed)"/>
    <s v="Server"/>
    <m/>
  </r>
  <r>
    <x v="2"/>
    <s v="CG03"/>
    <x v="1"/>
    <s v="60*120"/>
    <s v="CBS-Postpaid (Testbed)"/>
    <s v="Server"/>
    <m/>
  </r>
  <r>
    <x v="2"/>
    <s v="CG04"/>
    <x v="1"/>
    <s v="60*120"/>
    <s v="CBS-Postpaid (Testbed)"/>
    <s v="Server"/>
    <m/>
  </r>
  <r>
    <x v="2"/>
    <s v="CG05"/>
    <x v="1"/>
    <s v="60*100"/>
    <s v="CBS-3G"/>
    <s v="Server"/>
    <m/>
  </r>
  <r>
    <x v="2"/>
    <s v="CG06"/>
    <x v="1"/>
    <s v="60*120"/>
    <s v="CBS-3G_S6800_CBS_1"/>
    <s v="Storage"/>
    <m/>
  </r>
  <r>
    <x v="2"/>
    <s v="CG07"/>
    <x v="1"/>
    <s v="60*120"/>
    <s v="CBS-3G_S6800_CBS_2"/>
    <s v="Storage"/>
    <m/>
  </r>
  <r>
    <x v="2"/>
    <s v="CG08"/>
    <x v="1"/>
    <s v="60*120"/>
    <s v="CBS-Postpaid (Testbed)"/>
    <s v="Server"/>
    <m/>
  </r>
  <r>
    <x v="2"/>
    <s v="CH01"/>
    <x v="1"/>
    <s v="80*100"/>
    <m/>
    <s v="Network"/>
    <m/>
  </r>
  <r>
    <x v="2"/>
    <s v="CH02"/>
    <x v="1"/>
    <s v="80*100"/>
    <m/>
    <s v="Network"/>
    <m/>
  </r>
  <r>
    <x v="2"/>
    <s v="CH03"/>
    <x v="1"/>
    <s v="80*100"/>
    <m/>
    <s v="Network"/>
    <m/>
  </r>
  <r>
    <x v="2"/>
    <s v="CH04"/>
    <x v="1"/>
    <s v="80*100"/>
    <m/>
    <s v="Network"/>
    <m/>
  </r>
  <r>
    <x v="2"/>
    <s v="CH05"/>
    <x v="1"/>
    <s v="60*90"/>
    <m/>
    <s v="Network"/>
    <m/>
  </r>
  <r>
    <x v="2"/>
    <s v="CH06"/>
    <x v="2"/>
    <s v="80*100"/>
    <m/>
    <s v="Network"/>
    <m/>
  </r>
  <r>
    <x v="2"/>
    <s v="CI01"/>
    <x v="1"/>
    <s v="80*100"/>
    <m/>
    <s v="Network"/>
    <m/>
  </r>
  <r>
    <x v="2"/>
    <s v="CI02"/>
    <x v="1"/>
    <s v="80*100"/>
    <m/>
    <s v="Network"/>
    <m/>
  </r>
  <r>
    <x v="2"/>
    <s v="CI03"/>
    <x v="2"/>
    <s v="80*100"/>
    <m/>
    <s v="Network"/>
    <m/>
  </r>
  <r>
    <x v="2"/>
    <s v="CI04"/>
    <x v="2"/>
    <s v="80*100"/>
    <m/>
    <s v="Network"/>
    <m/>
  </r>
  <r>
    <x v="2"/>
    <s v="CI05"/>
    <x v="1"/>
    <s v="80*100"/>
    <m/>
    <s v="Network"/>
    <m/>
  </r>
  <r>
    <x v="2"/>
    <s v="CI06"/>
    <x v="1"/>
    <s v="80*100"/>
    <m/>
    <s v="Network"/>
    <m/>
  </r>
  <r>
    <x v="2"/>
    <s v="CJ01"/>
    <x v="1"/>
    <s v="80*100"/>
    <m/>
    <s v="Network"/>
    <m/>
  </r>
  <r>
    <x v="2"/>
    <s v="CJ02"/>
    <x v="1"/>
    <s v="80*100"/>
    <s v="CBS-3G"/>
    <s v="Network"/>
    <s v="Patch Panel"/>
  </r>
  <r>
    <x v="2"/>
    <s v="CJ03"/>
    <x v="1"/>
    <s v="60*90"/>
    <s v="CBS-3G"/>
    <s v="Network"/>
    <m/>
  </r>
  <r>
    <x v="2"/>
    <s v="CJ04"/>
    <x v="1"/>
    <s v="60*90"/>
    <s v="CBS-3G"/>
    <s v="Network"/>
    <m/>
  </r>
  <r>
    <x v="2"/>
    <s v="CJ05"/>
    <x v="1"/>
    <s v="60*90"/>
    <s v="CBS-3G"/>
    <s v="Network"/>
    <m/>
  </r>
  <r>
    <x v="2"/>
    <s v="CJ06"/>
    <x v="1"/>
    <s v="60*90"/>
    <s v="CBS-3G"/>
    <s v="Network"/>
    <m/>
  </r>
  <r>
    <x v="2"/>
    <s v="CJ07"/>
    <x v="1"/>
    <s v="60*120"/>
    <s v="CBS-Prepaid (PR)"/>
    <s v="Server"/>
    <m/>
  </r>
  <r>
    <x v="2"/>
    <s v="CK01"/>
    <x v="1"/>
    <s v="60*60"/>
    <m/>
    <s v="ODF"/>
    <m/>
  </r>
  <r>
    <x v="2"/>
    <s v="CK02"/>
    <x v="1"/>
    <s v="60*60"/>
    <m/>
    <s v="ODF"/>
    <m/>
  </r>
  <r>
    <x v="2"/>
    <s v="CK03"/>
    <x v="1"/>
    <s v="60*60"/>
    <m/>
    <s v="ODF"/>
    <m/>
  </r>
  <r>
    <x v="2"/>
    <s v="CK04"/>
    <x v="1"/>
    <s v="60*60"/>
    <m/>
    <s v="ODF"/>
    <m/>
  </r>
  <r>
    <x v="2"/>
    <s v="CK05"/>
    <x v="3"/>
    <s v="60*60"/>
    <m/>
    <s v="ODF"/>
    <s v="Reserved for ODF"/>
  </r>
  <r>
    <x v="2"/>
    <s v="CK06"/>
    <x v="3"/>
    <s v="60*60"/>
    <m/>
    <s v="ODF"/>
    <s v="Reserved for ODF"/>
  </r>
  <r>
    <x v="2"/>
    <s v="CK07"/>
    <x v="1"/>
    <s v="60*60"/>
    <m/>
    <s v="ODF"/>
    <m/>
  </r>
  <r>
    <x v="2"/>
    <s v="CK08"/>
    <x v="3"/>
    <s v="60*60"/>
    <m/>
    <s v="ODF"/>
    <s v="Reserved for ODF"/>
  </r>
  <r>
    <x v="2"/>
    <s v="CL01"/>
    <x v="1"/>
    <s v="60*120"/>
    <s v="CBS-Prepaid (PR)"/>
    <s v="Server"/>
    <m/>
  </r>
  <r>
    <x v="2"/>
    <s v="CL02"/>
    <x v="1"/>
    <s v="60*120"/>
    <s v="CBS-Prepaid (PR)"/>
    <s v="Server"/>
    <m/>
  </r>
  <r>
    <x v="2"/>
    <s v="CL03"/>
    <x v="3"/>
    <s v="60*100"/>
    <m/>
    <s v="Air"/>
    <s v="Reserved for In-Row Cooling"/>
  </r>
  <r>
    <x v="2"/>
    <s v="CL04"/>
    <x v="1"/>
    <s v="60*120"/>
    <s v="CBS-Prepaid (PR)"/>
    <s v="Server"/>
    <m/>
  </r>
  <r>
    <x v="2"/>
    <s v="CL05"/>
    <x v="1"/>
    <s v="60*120"/>
    <s v="CBS-Prepaid (PR)"/>
    <s v="Server"/>
    <m/>
  </r>
  <r>
    <x v="2"/>
    <s v="CL06"/>
    <x v="3"/>
    <s v="60*100"/>
    <m/>
    <s v="Air"/>
    <s v="Reserved for In-Row Cooling"/>
  </r>
  <r>
    <x v="2"/>
    <s v="CL07"/>
    <x v="1"/>
    <s v="60*120"/>
    <s v="CBS-Prepaid (PR)"/>
    <s v="Server"/>
    <m/>
  </r>
  <r>
    <x v="2"/>
    <s v="CL08"/>
    <x v="1"/>
    <s v="60*120"/>
    <s v="CBS-Prepaid (PR)"/>
    <s v="Server"/>
    <m/>
  </r>
  <r>
    <x v="3"/>
    <s v="DA01"/>
    <x v="1"/>
    <s v="60*120"/>
    <s v="S5650_2"/>
    <s v="Storage"/>
    <m/>
  </r>
  <r>
    <x v="3"/>
    <s v="DA02"/>
    <x v="1"/>
    <s v="60*120"/>
    <s v="PRIMERA_02"/>
    <s v="Storage"/>
    <m/>
  </r>
  <r>
    <x v="3"/>
    <s v="DA03"/>
    <x v="1"/>
    <s v="60*120"/>
    <s v="PRIMERA_03"/>
    <s v="Storage"/>
    <m/>
  </r>
  <r>
    <x v="3"/>
    <s v="DA04"/>
    <x v="1"/>
    <s v="60*100"/>
    <s v="AIR"/>
    <s v="Air"/>
    <m/>
  </r>
  <r>
    <x v="3"/>
    <s v="DA05"/>
    <x v="1"/>
    <s v="60*120"/>
    <s v="SO5650_1"/>
    <s v="Storage"/>
    <m/>
  </r>
  <r>
    <x v="3"/>
    <s v="DA06"/>
    <x v="3"/>
    <s v="60*100"/>
    <m/>
    <s v="Storage"/>
    <s v="Reserved for Storage"/>
  </r>
  <r>
    <x v="3"/>
    <s v="DA07"/>
    <x v="3"/>
    <s v="60*100"/>
    <m/>
    <s v="Storage"/>
    <s v="Reserved for Storage"/>
  </r>
  <r>
    <x v="3"/>
    <s v="DB01"/>
    <x v="3"/>
    <s v="60*100"/>
    <m/>
    <s v="Storage"/>
    <s v="Reserved for Storage"/>
  </r>
  <r>
    <x v="3"/>
    <s v="DB02"/>
    <x v="3"/>
    <s v="60*100"/>
    <m/>
    <s v="Storage"/>
    <s v="Reserved for Storage"/>
  </r>
  <r>
    <x v="3"/>
    <s v="DB03"/>
    <x v="3"/>
    <s v="60*100"/>
    <m/>
    <s v="Storage"/>
    <s v="Reserved for Storage"/>
  </r>
  <r>
    <x v="3"/>
    <s v="DB04"/>
    <x v="1"/>
    <s v="60*120"/>
    <s v="RST4P-SO5660-01"/>
    <s v="Storage"/>
    <m/>
  </r>
  <r>
    <x v="3"/>
    <s v="DB05"/>
    <x v="0"/>
    <s v="60*100"/>
    <s v="TD"/>
    <s v="LIBRARY"/>
    <m/>
  </r>
  <r>
    <x v="3"/>
    <s v="DB06"/>
    <x v="0"/>
    <s v="60*100"/>
    <s v="TD"/>
    <s v="Server"/>
    <m/>
  </r>
  <r>
    <x v="3"/>
    <s v="DB07"/>
    <x v="3"/>
    <s v="60*100"/>
    <m/>
    <s v="Storage"/>
    <s v="Reserved for Storage"/>
  </r>
  <r>
    <x v="3"/>
    <s v="DB08"/>
    <x v="1"/>
    <s v="80*100"/>
    <m/>
    <s v="Network"/>
    <m/>
  </r>
  <r>
    <x v="3"/>
    <s v="DC01"/>
    <x v="1"/>
    <s v="60*100"/>
    <s v="CBS-2G"/>
    <s v="Server"/>
    <m/>
  </r>
  <r>
    <x v="3"/>
    <s v="DC02"/>
    <x v="1"/>
    <s v="60*90"/>
    <s v="CBS-2G"/>
    <s v="Storage"/>
    <s v="poweroff"/>
  </r>
  <r>
    <x v="3"/>
    <s v="DC03"/>
    <x v="1"/>
    <s v="60*100"/>
    <s v="CBS-2G"/>
    <s v="Server"/>
    <m/>
  </r>
  <r>
    <x v="3"/>
    <s v="DC04"/>
    <x v="1"/>
    <s v="60*90"/>
    <s v="CBS-2G"/>
    <s v="Storage"/>
    <m/>
  </r>
  <r>
    <x v="3"/>
    <s v="DC05"/>
    <x v="1"/>
    <s v="60*90"/>
    <s v="CBS-2G"/>
    <s v="Server"/>
    <m/>
  </r>
  <r>
    <x v="3"/>
    <s v="DC06"/>
    <x v="1"/>
    <s v="60*90"/>
    <s v="CBS-2G"/>
    <s v="Server"/>
    <m/>
  </r>
  <r>
    <x v="3"/>
    <s v="DC07"/>
    <x v="1"/>
    <s v="60*90"/>
    <s v="CBS-2G"/>
    <s v="Storage"/>
    <m/>
  </r>
  <r>
    <x v="3"/>
    <s v="DC08"/>
    <x v="1"/>
    <s v="60*90"/>
    <s v="CBS-2G"/>
    <s v="Server"/>
    <m/>
  </r>
  <r>
    <x v="3"/>
    <s v="DD01"/>
    <x v="1"/>
    <s v="60*90"/>
    <s v="CBS-3G"/>
    <s v="Storage"/>
    <m/>
  </r>
  <r>
    <x v="3"/>
    <s v="DD02"/>
    <x v="1"/>
    <s v="60*90"/>
    <s v="CBS-3G"/>
    <s v="Storage"/>
    <m/>
  </r>
  <r>
    <x v="3"/>
    <s v="DD03"/>
    <x v="1"/>
    <s v="60*90"/>
    <s v="CBS-3G"/>
    <s v="Storage"/>
    <m/>
  </r>
  <r>
    <x v="3"/>
    <s v="DD04"/>
    <x v="1"/>
    <s v="60*90"/>
    <s v="CBS-3G"/>
    <s v="Server"/>
    <m/>
  </r>
  <r>
    <x v="3"/>
    <s v="DD05"/>
    <x v="1"/>
    <s v="60*90"/>
    <s v="CBS-3G"/>
    <s v="Storage"/>
    <m/>
  </r>
  <r>
    <x v="3"/>
    <s v="DD06"/>
    <x v="1"/>
    <s v="60*90"/>
    <s v="CBS-3G"/>
    <s v="Server"/>
    <m/>
  </r>
  <r>
    <x v="3"/>
    <s v="DD07"/>
    <x v="1"/>
    <s v="60*120"/>
    <s v="VRBT"/>
    <s v="Storage"/>
    <m/>
  </r>
  <r>
    <x v="3"/>
    <s v="DD08"/>
    <x v="1"/>
    <s v="80*100"/>
    <m/>
    <s v="Network"/>
    <m/>
  </r>
  <r>
    <x v="3"/>
    <s v="DE01"/>
    <x v="1"/>
    <s v="60*90"/>
    <s v="CBS-3G"/>
    <s v="Server"/>
    <m/>
  </r>
  <r>
    <x v="3"/>
    <s v="DE02"/>
    <x v="1"/>
    <s v="60*100"/>
    <s v="CBS-3G"/>
    <s v="Server"/>
    <m/>
  </r>
  <r>
    <x v="3"/>
    <s v="DE03"/>
    <x v="1"/>
    <s v="60*100"/>
    <s v="CBS-3G"/>
    <s v="Server"/>
    <m/>
  </r>
  <r>
    <x v="3"/>
    <s v="DE04"/>
    <x v="1"/>
    <s v="60*100"/>
    <s v="CBS-3G"/>
    <s v="Server"/>
    <m/>
  </r>
  <r>
    <x v="3"/>
    <s v="DE05"/>
    <x v="1"/>
    <s v="60*90"/>
    <s v="CBS-3G"/>
    <s v="Server"/>
    <m/>
  </r>
  <r>
    <x v="3"/>
    <s v="DE06"/>
    <x v="1"/>
    <s v="60*90"/>
    <s v="CBS-3G"/>
    <s v="Storage"/>
    <m/>
  </r>
  <r>
    <x v="3"/>
    <s v="DE07"/>
    <x v="2"/>
    <s v="60*100"/>
    <m/>
    <s v="Server"/>
    <m/>
  </r>
  <r>
    <x v="3"/>
    <s v="DE08"/>
    <x v="1"/>
    <s v="80*100"/>
    <m/>
    <s v="Network"/>
    <m/>
  </r>
  <r>
    <x v="3"/>
    <s v="DF01"/>
    <x v="1"/>
    <s v="60*120"/>
    <m/>
    <s v="Server"/>
    <m/>
  </r>
  <r>
    <x v="3"/>
    <s v="DF02"/>
    <x v="1"/>
    <s v="60*120"/>
    <m/>
    <s v="Server"/>
    <m/>
  </r>
  <r>
    <x v="3"/>
    <s v="DF03"/>
    <x v="1"/>
    <s v="60*120"/>
    <m/>
    <s v="Server"/>
    <m/>
  </r>
  <r>
    <x v="3"/>
    <s v="DF04"/>
    <x v="1"/>
    <s v="60*120"/>
    <m/>
    <s v="Server"/>
    <m/>
  </r>
  <r>
    <x v="3"/>
    <s v="DF05"/>
    <x v="1"/>
    <s v="60*120"/>
    <m/>
    <s v="Server"/>
    <m/>
  </r>
  <r>
    <x v="3"/>
    <s v="DF06"/>
    <x v="1"/>
    <s v="60*100"/>
    <m/>
    <s v="Server"/>
    <m/>
  </r>
  <r>
    <x v="3"/>
    <s v="DF07"/>
    <x v="1"/>
    <s v="80*100"/>
    <m/>
    <s v="Network"/>
    <m/>
  </r>
  <r>
    <x v="3"/>
    <s v="DG01"/>
    <x v="0"/>
    <s v="60*90"/>
    <s v="SDP"/>
    <s v="Server"/>
    <m/>
  </r>
  <r>
    <x v="3"/>
    <s v="DG02"/>
    <x v="0"/>
    <s v="60*120"/>
    <s v="VDI"/>
    <s v="Storage"/>
    <m/>
  </r>
  <r>
    <x v="3"/>
    <s v="DG03"/>
    <x v="0"/>
    <s v="60*120"/>
    <s v="TD"/>
    <s v="Storage"/>
    <m/>
  </r>
  <r>
    <x v="3"/>
    <s v="DG04"/>
    <x v="0"/>
    <s v="60*120"/>
    <s v="TD"/>
    <s v="Storage"/>
    <m/>
  </r>
  <r>
    <x v="3"/>
    <s v="DG05"/>
    <x v="0"/>
    <s v="60*120"/>
    <s v="TD"/>
    <s v="Storage"/>
    <m/>
  </r>
  <r>
    <x v="3"/>
    <s v="DG06"/>
    <x v="0"/>
    <s v="60*120"/>
    <s v="TD"/>
    <s v="Storage"/>
    <m/>
  </r>
  <r>
    <x v="3"/>
    <s v="DG07"/>
    <x v="0"/>
    <s v="60*120"/>
    <s v="VDI"/>
    <s v="Storage"/>
    <m/>
  </r>
  <r>
    <x v="3"/>
    <s v="DG08"/>
    <x v="1"/>
    <s v="80*100"/>
    <m/>
    <s v="Network"/>
    <m/>
  </r>
  <r>
    <x v="3"/>
    <s v="DH01"/>
    <x v="1"/>
    <s v="60*100"/>
    <m/>
    <s v="Network"/>
    <m/>
  </r>
  <r>
    <x v="3"/>
    <s v="DH02"/>
    <x v="2"/>
    <s v="60*110"/>
    <m/>
    <s v="Server"/>
    <m/>
  </r>
  <r>
    <x v="3"/>
    <s v="DH03"/>
    <x v="1"/>
    <s v="60*100"/>
    <m/>
    <s v="Network"/>
    <m/>
  </r>
  <r>
    <x v="3"/>
    <s v="DH04"/>
    <x v="1"/>
    <s v="60*100"/>
    <s v="True Single Data Lake"/>
    <s v="Storage"/>
    <m/>
  </r>
  <r>
    <x v="3"/>
    <s v="DH05"/>
    <x v="1"/>
    <s v="60*100"/>
    <s v="CBS-3G"/>
    <s v="Server"/>
    <m/>
  </r>
  <r>
    <x v="3"/>
    <s v="DH06"/>
    <x v="1"/>
    <s v="60*100"/>
    <s v="CBS-3G"/>
    <s v="Server"/>
    <m/>
  </r>
  <r>
    <x v="3"/>
    <s v="DH07"/>
    <x v="1"/>
    <s v="60*90"/>
    <s v="CBS-3G"/>
    <s v="Storage"/>
    <m/>
  </r>
  <r>
    <x v="3"/>
    <s v="DH08"/>
    <x v="1"/>
    <s v="80*100"/>
    <m/>
    <s v="Network"/>
    <m/>
  </r>
  <r>
    <x v="3"/>
    <s v="DI01"/>
    <x v="1"/>
    <s v="60*100"/>
    <s v="DNA"/>
    <s v="Server"/>
    <m/>
  </r>
  <r>
    <x v="3"/>
    <s v="DI02"/>
    <x v="1"/>
    <s v="60*100"/>
    <s v="DNA"/>
    <s v="Server"/>
    <m/>
  </r>
  <r>
    <x v="3"/>
    <s v="DI03"/>
    <x v="1"/>
    <s v="60*100"/>
    <s v="DNA"/>
    <s v="Server"/>
    <m/>
  </r>
  <r>
    <x v="3"/>
    <s v="DI04"/>
    <x v="1"/>
    <s v="60*100"/>
    <s v="DNA"/>
    <s v="Server"/>
    <m/>
  </r>
  <r>
    <x v="3"/>
    <s v="DI05"/>
    <x v="1"/>
    <s v="60*100"/>
    <s v="DNA"/>
    <s v="Server"/>
    <m/>
  </r>
  <r>
    <x v="3"/>
    <s v="DI06"/>
    <x v="3"/>
    <s v="60*100"/>
    <s v="DNA"/>
    <s v="Server"/>
    <s v="Reserved for DNA"/>
  </r>
  <r>
    <x v="3"/>
    <s v="DI07"/>
    <x v="3"/>
    <s v="60*100"/>
    <s v="DNA"/>
    <s v="Server"/>
    <s v="Reserved for DNA"/>
  </r>
  <r>
    <x v="3"/>
    <s v="DI08"/>
    <x v="1"/>
    <s v="60*100"/>
    <m/>
    <s v="Network"/>
    <m/>
  </r>
  <r>
    <x v="3"/>
    <s v="DJ01"/>
    <x v="1"/>
    <s v="60*100"/>
    <s v="CBS-2G"/>
    <s v="Server"/>
    <m/>
  </r>
  <r>
    <x v="3"/>
    <s v="DJ02"/>
    <x v="0"/>
    <s v="60*90"/>
    <s v="SDP"/>
    <s v="Server"/>
    <m/>
  </r>
  <r>
    <x v="3"/>
    <s v="DJ03"/>
    <x v="0"/>
    <s v="60*100"/>
    <s v="SDP"/>
    <s v="Server"/>
    <m/>
  </r>
  <r>
    <x v="3"/>
    <s v="DJ04"/>
    <x v="1"/>
    <s v="60*100"/>
    <s v="DNA"/>
    <s v="Server"/>
    <m/>
  </r>
  <r>
    <x v="3"/>
    <s v="DJ05"/>
    <x v="1"/>
    <s v="60*100"/>
    <s v="DNA"/>
    <s v="Server"/>
    <m/>
  </r>
  <r>
    <x v="3"/>
    <s v="DJ06"/>
    <x v="3"/>
    <s v="60*100"/>
    <s v="DNA"/>
    <s v="Server"/>
    <s v="Reserved for DNA"/>
  </r>
  <r>
    <x v="3"/>
    <s v="DJ07"/>
    <x v="3"/>
    <s v="60*100"/>
    <s v="DNA"/>
    <s v="Server"/>
    <s v="Reserved for DNA"/>
  </r>
  <r>
    <x v="3"/>
    <s v="DJ08"/>
    <x v="3"/>
    <s v="60*100"/>
    <s v="DNA"/>
    <s v="Server"/>
    <s v="Reserved for DNA"/>
  </r>
  <r>
    <x v="3"/>
    <s v="DK01"/>
    <x v="0"/>
    <s v="60*100"/>
    <s v="OMS"/>
    <s v="Server"/>
    <m/>
  </r>
  <r>
    <x v="3"/>
    <s v="DK02"/>
    <x v="0"/>
    <s v="60*90"/>
    <s v="OMS"/>
    <s v="Server"/>
    <m/>
  </r>
  <r>
    <x v="3"/>
    <s v="DK03"/>
    <x v="0"/>
    <s v="60*100"/>
    <s v="OMS"/>
    <s v="Server"/>
    <m/>
  </r>
  <r>
    <x v="3"/>
    <s v="DK04"/>
    <x v="0"/>
    <s v="60*90"/>
    <s v="OMS"/>
    <s v="Server"/>
    <m/>
  </r>
  <r>
    <x v="3"/>
    <s v="DK05"/>
    <x v="0"/>
    <s v="60*90"/>
    <s v="OMS"/>
    <s v="Server"/>
    <m/>
  </r>
  <r>
    <x v="3"/>
    <s v="DK06"/>
    <x v="0"/>
    <s v="60*90"/>
    <s v="OMS"/>
    <s v="Server"/>
    <m/>
  </r>
  <r>
    <x v="3"/>
    <s v="DK07"/>
    <x v="0"/>
    <s v="60*90"/>
    <s v="OMS"/>
    <s v="Server"/>
    <m/>
  </r>
  <r>
    <x v="3"/>
    <s v="DK08"/>
    <x v="0"/>
    <s v="60*100"/>
    <s v="OMS"/>
    <s v="Server"/>
    <m/>
  </r>
  <r>
    <x v="3"/>
    <s v="DL01"/>
    <x v="1"/>
    <s v="60*90"/>
    <s v="CBS-2G"/>
    <s v="Server"/>
    <m/>
  </r>
  <r>
    <x v="3"/>
    <s v="DL02"/>
    <x v="1"/>
    <s v="60*90"/>
    <s v="CBS-2G"/>
    <s v="Storage"/>
    <m/>
  </r>
  <r>
    <x v="3"/>
    <s v="DL03"/>
    <x v="1"/>
    <s v="60*90"/>
    <s v="CBS-2G"/>
    <s v="Storage"/>
    <m/>
  </r>
  <r>
    <x v="3"/>
    <s v="DL04"/>
    <x v="1"/>
    <s v="60*90"/>
    <s v="CBS-2G"/>
    <s v="Network"/>
    <m/>
  </r>
  <r>
    <x v="3"/>
    <s v="DL05"/>
    <x v="1"/>
    <s v="60*90"/>
    <s v="CBS-2G"/>
    <s v="Network"/>
    <m/>
  </r>
  <r>
    <x v="3"/>
    <s v="DL06"/>
    <x v="1"/>
    <s v="60*90"/>
    <s v="CBS-2G"/>
    <s v="Network"/>
    <m/>
  </r>
  <r>
    <x v="3"/>
    <s v="DL07"/>
    <x v="1"/>
    <s v="60*90"/>
    <s v="CBS-2G"/>
    <s v="Network"/>
    <m/>
  </r>
  <r>
    <x v="3"/>
    <s v="DL08"/>
    <x v="1"/>
    <s v="80*100"/>
    <s v="CBS-2G"/>
    <s v="Network"/>
    <s v="Patch Pane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8590A3-12F7-48D7-8202-FDA9ECBE2C99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5" rowHeaderCaption="Rack Zone" colHeaderCaption=" ">
  <location ref="A1:F7" firstHeaderRow="1" firstDataRow="2" firstDataCol="1"/>
  <pivotFields count="7"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dataField="1" showAll="0" sortType="descending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 " fld="2" subtotal="count" baseField="0" baseItem="0"/>
  </dataFields>
  <formats count="4"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grandCol="1" outline="0" fieldPosition="0"/>
    </format>
    <format dxfId="10">
      <pivotArea dataOnly="0" labelOnly="1" fieldPosition="0">
        <references count="1">
          <reference field="0" count="0"/>
        </references>
      </pivotArea>
    </format>
    <format dxfId="9">
      <pivotArea field="0" type="button" dataOnly="0" labelOnly="1" outline="0" axis="axisRow" fieldPosition="0"/>
    </format>
  </formats>
  <chartFormats count="10">
    <chartFormat chart="8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0"/>
          </reference>
        </references>
      </pivotArea>
    </chartFormat>
    <chartFormat chart="8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8F5A12-1D17-4C54-85CD-1B7647BFD96F}" name="Table6" displayName="Table6" ref="A31:G32" totalsRowShown="0" headerRowDxfId="46" headerRowBorderDxfId="45" tableBorderDxfId="44" totalsRowBorderDxfId="43">
  <autoFilter ref="A31:G32" xr:uid="{B38F5A12-1D17-4C54-85CD-1B7647BFD96F}"/>
  <tableColumns count="7">
    <tableColumn id="1" xr3:uid="{86F03F3A-6B50-4BBB-885A-4DA21ECB95A3}" name="Reporting Month" dataDxfId="42">
      <calculatedColumnFormula>$H$1</calculatedColumnFormula>
    </tableColumn>
    <tableColumn id="2" xr3:uid="{C61AF99A-88E6-40CF-860F-EAFAFBD05D06}" name="Building Energy Consumption (kWh)" dataDxfId="41" dataCellStyle="Comma">
      <calculatedColumnFormula>IFERROR(
    _xlfn.XLOOKUP(
        $A32,
        Overall_Energy[Month],
        Overall_Energy[Building Energy Consumption (kWh)]
    ),
    ""
)</calculatedColumnFormula>
    </tableColumn>
    <tableColumn id="3" xr3:uid="{C42E2F01-FAB2-4A53-BD74-982713FA9FEB}" name="Building Electricity Cost (THB)" dataDxfId="40" dataCellStyle="Comma">
      <calculatedColumnFormula>IFERROR(
    _xlfn.XLOOKUP(
        $A32,
         Overall_Energy[Month],
        Overall_Energy[Building Electricity Cost (THB)]
    ),
    ""
)</calculatedColumnFormula>
    </tableColumn>
    <tableColumn id="4" xr3:uid="{8B278163-141C-4E8D-9072-BD776F225430}" name="4th Floor Energy Consumption (kWh)" dataDxfId="39" dataCellStyle="Comma">
      <calculatedColumnFormula>H8+F20+G29</calculatedColumnFormula>
    </tableColumn>
    <tableColumn id="5" xr3:uid="{B5E4E968-7CD2-4C09-955E-97997A43551F}" name="4th Floor Electricity Cost (THB)" dataDxfId="38" dataCellStyle="Comma">
      <calculatedColumnFormula>(C32/B32)*D32</calculatedColumnFormula>
    </tableColumn>
    <tableColumn id="6" xr3:uid="{919A90CA-EAA5-4113-A03A-A44F56ED281F}" name="Average Electricity Rate (THB/kWh)" dataDxfId="37" dataCellStyle="Comma">
      <calculatedColumnFormula>Table6[[#This Row],[Building Electricity Cost (THB)]]/Table6[[#This Row],[Building Energy Consumption (kWh)]]</calculatedColumnFormula>
    </tableColumn>
    <tableColumn id="7" xr3:uid="{46A548B0-97C9-44DF-8BE7-5E199E503AB3}" name="4th Floor Energy Share (%)" dataDxfId="36" dataCellStyle="Percent">
      <calculatedColumnFormula>D32/B32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E9260D-97F8-4800-BD75-158813E6F67B}" name="Table4" displayName="Table4" ref="A19:D23" totalsRowShown="0" headerRowDxfId="35" dataDxfId="34">
  <tableColumns count="4">
    <tableColumn id="1" xr3:uid="{F44538CB-2C9E-4A85-A376-E497DACCA670}" name="Month" dataDxfId="33">
      <calculatedColumnFormula>$B$2</calculatedColumnFormula>
    </tableColumn>
    <tableColumn id="2" xr3:uid="{072BBF9C-E6C5-4C11-9FAA-68AC091C34FA}" name="DC Power Panel" dataDxfId="32"/>
    <tableColumn id="3" xr3:uid="{D2DFE728-066F-45DD-B02E-C023B9A97D67}" name="DC Voltage (V)" dataDxfId="31"/>
    <tableColumn id="4" xr3:uid="{FAE6B1FD-A5BD-4319-975C-D6290FA70167}" name="DC Current (A)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40E134-8379-4DBD-92AE-E4351AD713F7}" name="UPS_data" displayName="UPS_data" ref="A2:F37" totalsRowShown="0" headerRowDxfId="29">
  <autoFilter ref="A2:F37" xr:uid="{2C40E134-8379-4DBD-92AE-E4351AD713F7}"/>
  <sortState xmlns:xlrd2="http://schemas.microsoft.com/office/spreadsheetml/2017/richdata2" ref="A3:F37">
    <sortCondition ref="A2:A37"/>
  </sortState>
  <tableColumns count="6">
    <tableColumn id="6" xr3:uid="{4F6B9BE5-D995-451C-9E45-3748D6DCF9B4}" name="Month" dataDxfId="28"/>
    <tableColumn id="1" xr3:uid="{5B0A8BE8-6B23-4697-85C8-5B645BBA1CDD}" name="UPS" dataDxfId="27"/>
    <tableColumn id="2" xr3:uid="{DE4A3D21-EBC4-4E19-B41E-013174F55FC1}" name="Voltage (V)"/>
    <tableColumn id="3" xr3:uid="{62D6481C-660C-4367-8BD1-F9A56CF04FB1}" name="Current (A)"/>
    <tableColumn id="4" xr3:uid="{E86A294F-6226-4AAE-94DC-85D5DD313725}" name="Load (kW)"/>
    <tableColumn id="5" xr3:uid="{EE778B4F-420F-4656-A60A-7D4BAD143B40}" name="Load (kVA)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Overall_Air" displayName="Overall_Air" ref="A2:E68" totalsRowShown="0" headerRowDxfId="26">
  <autoFilter ref="A2:E68" xr:uid="{00000000-0009-0000-0100-000002000000}">
    <filterColumn colId="0">
      <filters>
        <dateGroupItem year="2026" dateTimeGrouping="year"/>
      </filters>
    </filterColumn>
  </autoFilter>
  <sortState xmlns:xlrd2="http://schemas.microsoft.com/office/spreadsheetml/2017/richdata2" ref="A3:E68">
    <sortCondition ref="A2:A68"/>
  </sortState>
  <tableColumns count="5">
    <tableColumn id="1" xr3:uid="{00000000-0010-0000-0100-000001000000}" name="Month" dataDxfId="25"/>
    <tableColumn id="2" xr3:uid="{00000000-0010-0000-0100-000002000000}" name="EB41A (GWh)" dataDxfId="24" dataCellStyle="Comma"/>
    <tableColumn id="3" xr3:uid="{00000000-0010-0000-0100-000003000000}" name="EB41B (GWh)" dataDxfId="23" dataCellStyle="Comma"/>
    <tableColumn id="4" xr3:uid="{00000000-0010-0000-0100-000004000000}" name="EB42A (GWh)" dataDxfId="22" dataCellStyle="Comma"/>
    <tableColumn id="5" xr3:uid="{00000000-0010-0000-0100-000005000000}" name="EB42B (GWh)" dataDxfId="21" dataCellStyle="Comm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E88189-2178-4496-8BF8-D851A4433D51}" name="PPC_DC" displayName="PPC_DC" ref="A2:D22" totalsRowShown="0" headerRowDxfId="20" dataDxfId="19">
  <autoFilter ref="A2:D22" xr:uid="{2C40E134-8379-4DBD-92AE-E4351AD713F7}"/>
  <sortState xmlns:xlrd2="http://schemas.microsoft.com/office/spreadsheetml/2017/richdata2" ref="A3:D22">
    <sortCondition ref="A2:A22"/>
  </sortState>
  <tableColumns count="4">
    <tableColumn id="6" xr3:uid="{81118646-C69B-4E00-BA26-7CF75DD9FDDC}" name="Month" dataDxfId="18"/>
    <tableColumn id="1" xr3:uid="{07D73D08-E865-4766-8566-E44A4209CAB6}" name="DC Power Panel" dataDxfId="17"/>
    <tableColumn id="2" xr3:uid="{DB8FF3C6-7095-48E2-817C-67F0CAF00FC5}" name="DC Voltage (V)" dataCellStyle="Comma"/>
    <tableColumn id="3" xr3:uid="{05740651-85E4-4E17-B38E-81D4CD2489EA}" name="DC Current (A)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Overall_Energy" displayName="Overall_Energy" ref="A2:E68" totalsRowShown="0" headerRowDxfId="16">
  <autoFilter ref="A2:E68" xr:uid="{00000000-0009-0000-0100-000001000000}">
    <filterColumn colId="0">
      <filters>
        <dateGroupItem year="2026" dateTimeGrouping="year"/>
      </filters>
    </filterColumn>
  </autoFilter>
  <sortState xmlns:xlrd2="http://schemas.microsoft.com/office/spreadsheetml/2017/richdata2" ref="A64:E68">
    <sortCondition ref="A2:A68"/>
  </sortState>
  <tableColumns count="5">
    <tableColumn id="1" xr3:uid="{00000000-0010-0000-0000-000001000000}" name="Month" dataDxfId="15"/>
    <tableColumn id="2" xr3:uid="{00000000-0010-0000-0000-000002000000}" name="Building Energy Consumption (kWh)" dataCellStyle="Comma"/>
    <tableColumn id="3" xr3:uid="{00000000-0010-0000-0000-000003000000}" name="Building Electricity Cost (THB)" dataCellStyle="Comma"/>
    <tableColumn id="4" xr3:uid="{00000000-0010-0000-0000-000004000000}" name="4th Floor Electricity Cost (THB)" dataDxfId="14" dataCellStyle="Comma"/>
    <tableColumn id="5" xr3:uid="{00000000-0010-0000-0000-000005000000}" name="Average Electricity Rate (THB/kWh)" dataDxfId="13" dataCellStyle="Comma">
      <calculatedColumnFormula>Overall_Energy[[#This Row],[Building Electricity Cost (THB)]]/Overall_Energy[[#This Row],[Building Energy Consumption (kWh)]]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8CBAC3D-55EA-44B1-AAC1-021C18E6732C}" name="Table7" displayName="Table7" ref="A9:G367" totalsRowShown="0" headerRowDxfId="8" tableBorderDxfId="7" headerRowCellStyle="Comma">
  <autoFilter ref="A9:G367" xr:uid="{C8CBAC3D-55EA-44B1-AAC1-021C18E6732C}"/>
  <tableColumns count="7">
    <tableColumn id="1" xr3:uid="{D8A57871-E7B0-4EB8-80C8-5A1E42409847}" name="Rack Zone" dataDxfId="6" dataCellStyle="Normal 2 2"/>
    <tableColumn id="2" xr3:uid="{EA1EC175-9EE0-4BD3-850F-2D7A1381B189}" name="Rack ID" dataDxfId="5" dataCellStyle="Normal 2 2"/>
    <tableColumn id="3" xr3:uid="{3BACA9C4-AFE3-48EF-BBBE-4F13B24D5301}" name="Status" dataDxfId="4" dataCellStyle="Normal 2 2"/>
    <tableColumn id="4" xr3:uid="{CBA86B98-B3CB-4CAC-A454-120433CA154D}" name="Cabinet Size (WxD cm)" dataDxfId="3" dataCellStyle="Normal 2 2"/>
    <tableColumn id="5" xr3:uid="{7087D973-C015-46CF-B8E6-753BBBFAFBF3}" name="Detail" dataDxfId="2" dataCellStyle="Normal 3 2"/>
    <tableColumn id="6" xr3:uid="{B003D484-D17A-4B78-8FB4-85BD50A2A568}" name="Device Type" dataDxfId="1" dataCellStyle="Normal 3 2"/>
    <tableColumn id="7" xr3:uid="{C76B5F99-E300-4909-9E1F-0EB114A92ED3}" name="Remarks" dataDxfId="0" dataCellStyle="Normal 3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34"/>
  <sheetViews>
    <sheetView zoomScaleNormal="100" workbookViewId="0">
      <selection activeCell="D32" sqref="D32"/>
    </sheetView>
  </sheetViews>
  <sheetFormatPr defaultRowHeight="13.2"/>
  <cols>
    <col min="1" max="1" width="18" customWidth="1"/>
    <col min="2" max="2" width="26.5546875" bestFit="1" customWidth="1"/>
    <col min="3" max="3" width="21.109375" bestFit="1" customWidth="1"/>
    <col min="4" max="4" width="20.77734375" customWidth="1"/>
    <col min="5" max="5" width="20.33203125" customWidth="1"/>
    <col min="6" max="6" width="16.77734375" bestFit="1" customWidth="1"/>
    <col min="7" max="7" width="19.77734375" customWidth="1"/>
    <col min="8" max="8" width="18.77734375" customWidth="1"/>
    <col min="9" max="9" width="13.109375" bestFit="1" customWidth="1"/>
    <col min="10" max="10" width="20.77734375" customWidth="1"/>
    <col min="11" max="11" width="10.21875" style="1" bestFit="1" customWidth="1"/>
  </cols>
  <sheetData>
    <row r="1" spans="1:11" ht="26.4" customHeight="1">
      <c r="A1" s="142" t="s">
        <v>105</v>
      </c>
      <c r="B1" s="142"/>
      <c r="C1" s="142"/>
      <c r="D1" s="142"/>
      <c r="E1" s="142"/>
      <c r="F1" s="84"/>
      <c r="G1" s="131"/>
      <c r="H1" s="123">
        <v>46143</v>
      </c>
      <c r="K1"/>
    </row>
    <row r="2" spans="1:11" ht="18" customHeight="1" thickBot="1">
      <c r="A2" s="146"/>
      <c r="B2" s="147"/>
      <c r="C2" s="147"/>
      <c r="D2" s="147"/>
      <c r="E2" s="147"/>
      <c r="F2" s="147"/>
      <c r="G2" s="100" t="s">
        <v>562</v>
      </c>
      <c r="H2" s="100">
        <f>DAY(EOMONTH(H1, 0))</f>
        <v>31</v>
      </c>
      <c r="K2"/>
    </row>
    <row r="3" spans="1:11" s="20" customFormat="1" ht="34.799999999999997">
      <c r="A3" s="31" t="s">
        <v>0</v>
      </c>
      <c r="B3" s="32" t="s">
        <v>2</v>
      </c>
      <c r="C3" s="32" t="s">
        <v>107</v>
      </c>
      <c r="D3" s="32" t="s">
        <v>108</v>
      </c>
      <c r="E3" s="32" t="s">
        <v>106</v>
      </c>
      <c r="F3" s="33" t="s">
        <v>10</v>
      </c>
      <c r="G3" s="33" t="s">
        <v>51</v>
      </c>
      <c r="H3" s="34" t="s">
        <v>111</v>
      </c>
    </row>
    <row r="4" spans="1:11" ht="17.399999999999999">
      <c r="A4" s="35">
        <v>1</v>
      </c>
      <c r="B4" s="24" t="s">
        <v>73</v>
      </c>
      <c r="C4" s="24">
        <f>'Dashboard-FAC'!H11+'Dashboard-FAC'!H12</f>
        <v>315</v>
      </c>
      <c r="D4" s="24">
        <f>'Dashboard-FAC'!I11+'Dashboard-FAC'!I12</f>
        <v>317</v>
      </c>
      <c r="E4" s="24">
        <v>400</v>
      </c>
      <c r="F4" s="25">
        <f>D4/E4</f>
        <v>0.79249999999999998</v>
      </c>
      <c r="G4" s="25">
        <f>100%-F4</f>
        <v>0.20750000000000002</v>
      </c>
      <c r="H4" s="36">
        <f>C4*24*$H$2</f>
        <v>234360</v>
      </c>
      <c r="K4"/>
    </row>
    <row r="5" spans="1:11" ht="17.399999999999999">
      <c r="A5" s="37">
        <v>2</v>
      </c>
      <c r="B5" s="26" t="s">
        <v>74</v>
      </c>
      <c r="C5" s="26">
        <f>'Dashboard-FAC'!H13+'Dashboard-FAC'!H14</f>
        <v>300</v>
      </c>
      <c r="D5" s="26">
        <f>'Dashboard-FAC'!I13+'Dashboard-FAC'!I14</f>
        <v>300</v>
      </c>
      <c r="E5" s="26">
        <v>400</v>
      </c>
      <c r="F5" s="27">
        <f>D5/E5</f>
        <v>0.75</v>
      </c>
      <c r="G5" s="27">
        <f>100%-F5</f>
        <v>0.25</v>
      </c>
      <c r="H5" s="38">
        <f>C5*24*$H$2</f>
        <v>223200</v>
      </c>
      <c r="K5"/>
    </row>
    <row r="6" spans="1:11" ht="17.399999999999999">
      <c r="A6" s="35">
        <v>3</v>
      </c>
      <c r="B6" s="24" t="s">
        <v>75</v>
      </c>
      <c r="C6" s="24">
        <f>'Dashboard-FAC'!H15</f>
        <v>41</v>
      </c>
      <c r="D6" s="24">
        <f>'Dashboard-FAC'!I15</f>
        <v>42</v>
      </c>
      <c r="E6" s="24">
        <v>120</v>
      </c>
      <c r="F6" s="25">
        <f>D6/E6</f>
        <v>0.35</v>
      </c>
      <c r="G6" s="25">
        <f>100%-F6</f>
        <v>0.65</v>
      </c>
      <c r="H6" s="36">
        <f>C6*24*$H$2</f>
        <v>30504</v>
      </c>
      <c r="K6"/>
    </row>
    <row r="7" spans="1:11" ht="17.399999999999999">
      <c r="A7" s="37">
        <v>4</v>
      </c>
      <c r="B7" s="26" t="s">
        <v>568</v>
      </c>
      <c r="C7" s="26">
        <f>'Dashboard-FAC'!H16+'Dashboard-FAC'!H17</f>
        <v>112</v>
      </c>
      <c r="D7" s="26">
        <f>'Dashboard-FAC'!I16+'Dashboard-FAC'!I17</f>
        <v>112</v>
      </c>
      <c r="E7" s="26">
        <v>400</v>
      </c>
      <c r="F7" s="27">
        <f>D7/E7</f>
        <v>0.28000000000000003</v>
      </c>
      <c r="G7" s="27">
        <f>100%-F7</f>
        <v>0.72</v>
      </c>
      <c r="H7" s="38">
        <f>C7*24*$H$2</f>
        <v>83328</v>
      </c>
      <c r="K7"/>
    </row>
    <row r="8" spans="1:11" ht="18" thickBot="1">
      <c r="A8" s="148" t="s">
        <v>77</v>
      </c>
      <c r="B8" s="149"/>
      <c r="C8" s="39">
        <f>SUM(C4:C7)</f>
        <v>768</v>
      </c>
      <c r="D8" s="39">
        <f>SUM(D4:D7)</f>
        <v>771</v>
      </c>
      <c r="E8" s="40"/>
      <c r="F8" s="40"/>
      <c r="G8" s="40"/>
      <c r="H8" s="46">
        <f>SUM(H4:H7)</f>
        <v>571392</v>
      </c>
      <c r="K8"/>
    </row>
    <row r="9" spans="1:11" ht="21" customHeight="1" thickBot="1">
      <c r="K9"/>
    </row>
    <row r="10" spans="1:11" s="3" customFormat="1" ht="17.399999999999999">
      <c r="A10" s="63" t="s">
        <v>0</v>
      </c>
      <c r="B10" s="64" t="s">
        <v>1</v>
      </c>
      <c r="C10" s="64" t="s">
        <v>2</v>
      </c>
      <c r="D10" s="64" t="s">
        <v>3</v>
      </c>
      <c r="E10" s="64" t="s">
        <v>4</v>
      </c>
      <c r="F10" s="64" t="s">
        <v>5</v>
      </c>
      <c r="G10" s="64" t="s">
        <v>6</v>
      </c>
      <c r="H10" s="64" t="s">
        <v>7</v>
      </c>
      <c r="I10" s="64" t="s">
        <v>8</v>
      </c>
      <c r="J10" s="64" t="s">
        <v>106</v>
      </c>
      <c r="K10" s="65" t="s">
        <v>10</v>
      </c>
    </row>
    <row r="11" spans="1:11" ht="17.399999999999999">
      <c r="A11" s="35">
        <v>1</v>
      </c>
      <c r="B11" s="29" t="s">
        <v>11</v>
      </c>
      <c r="C11" s="29" t="s">
        <v>12</v>
      </c>
      <c r="D11" s="29" t="s">
        <v>13</v>
      </c>
      <c r="E11" s="29" t="s">
        <v>14</v>
      </c>
      <c r="F11" s="126" cm="1">
        <f t="array" ref="F11">IFERROR(
_xlfn.XLOOKUP(
1,
(UPS_data[Month]=$H$1)*
(UPS_data[UPS]=$C11),
UPS_data[Voltage (V)]
),
"")</f>
        <v>390</v>
      </c>
      <c r="G11" s="126" cm="1">
        <f t="array" ref="G11">IFERROR(
_xlfn.XLOOKUP(
1,
(UPS_data[Month]=$H$1)*
(UPS_data[UPS]=$C11),
UPS_data[Current (A)]
),
"")</f>
        <v>254</v>
      </c>
      <c r="H11" s="126" cm="1">
        <f t="array" ref="H11">IFERROR(
_xlfn.XLOOKUP(
1,
(UPS_data[Month]=$H$1)*
(UPS_data[UPS]=$C11),
UPS_data[Load (kW)]
),
"")</f>
        <v>157</v>
      </c>
      <c r="I11" s="126" cm="1">
        <f t="array" ref="I11">IFERROR(
_xlfn.XLOOKUP(
1,
(UPS_data[Month]=$H$1)*
(UPS_data[UPS]=$C11),
UPS_data[Load (kVA)]
),
"")</f>
        <v>158</v>
      </c>
      <c r="J11" s="29">
        <v>400</v>
      </c>
      <c r="K11" s="66">
        <f t="shared" ref="K11:K17" si="0">I11/J11</f>
        <v>0.39500000000000002</v>
      </c>
    </row>
    <row r="12" spans="1:11" ht="17.399999999999999">
      <c r="A12" s="37">
        <v>2</v>
      </c>
      <c r="B12" s="30" t="s">
        <v>15</v>
      </c>
      <c r="C12" s="30" t="s">
        <v>16</v>
      </c>
      <c r="D12" s="30" t="s">
        <v>17</v>
      </c>
      <c r="E12" s="30" t="s">
        <v>18</v>
      </c>
      <c r="F12" s="126" cm="1">
        <f t="array" ref="F12">IFERROR(
_xlfn.XLOOKUP(
1,
(UPS_data[Month]=$H$1)*
(UPS_data[UPS]=$C12),
UPS_data[Voltage (V)]
),
"")</f>
        <v>397</v>
      </c>
      <c r="G12" s="126" cm="1">
        <f t="array" ref="G12">IFERROR(
_xlfn.XLOOKUP(
1,
(UPS_data[Month]=$H$1)*
(UPS_data[UPS]=$C12),
UPS_data[Current (A)]
),
"")</f>
        <v>242</v>
      </c>
      <c r="H12" s="126" cm="1">
        <f t="array" ref="H12">IFERROR(
_xlfn.XLOOKUP(
1,
(UPS_data[Month]=$H$1)*
(UPS_data[UPS]=$C12),
UPS_data[Load (kW)]
),
"")</f>
        <v>158</v>
      </c>
      <c r="I12" s="126" cm="1">
        <f t="array" ref="I12">IFERROR(
_xlfn.XLOOKUP(
1,
(UPS_data[Month]=$H$1)*
(UPS_data[UPS]=$C12),
UPS_data[Load (kVA)]
),
"")</f>
        <v>159</v>
      </c>
      <c r="J12" s="30">
        <v>400</v>
      </c>
      <c r="K12" s="67">
        <f t="shared" si="0"/>
        <v>0.39750000000000002</v>
      </c>
    </row>
    <row r="13" spans="1:11" ht="17.399999999999999">
      <c r="A13" s="35">
        <v>3</v>
      </c>
      <c r="B13" s="29" t="s">
        <v>19</v>
      </c>
      <c r="C13" s="29" t="s">
        <v>20</v>
      </c>
      <c r="D13" s="29" t="s">
        <v>21</v>
      </c>
      <c r="E13" s="29" t="s">
        <v>22</v>
      </c>
      <c r="F13" s="126" cm="1">
        <f t="array" ref="F13">IFERROR(
_xlfn.XLOOKUP(
1,
(UPS_data[Month]=$H$1)*
(UPS_data[UPS]=$C13),
UPS_data[Voltage (V)]
),
"")</f>
        <v>397</v>
      </c>
      <c r="G13" s="126" cm="1">
        <f t="array" ref="G13">IFERROR(
_xlfn.XLOOKUP(
1,
(UPS_data[Month]=$H$1)*
(UPS_data[UPS]=$C13),
UPS_data[Current (A)]
),
"")</f>
        <v>220</v>
      </c>
      <c r="H13" s="126" cm="1">
        <f t="array" ref="H13">IFERROR(
_xlfn.XLOOKUP(
1,
(UPS_data[Month]=$H$1)*
(UPS_data[UPS]=$C13),
UPS_data[Load (kW)]
),
"")</f>
        <v>149</v>
      </c>
      <c r="I13" s="126" cm="1">
        <f t="array" ref="I13">IFERROR(
_xlfn.XLOOKUP(
1,
(UPS_data[Month]=$H$1)*
(UPS_data[UPS]=$C13),
UPS_data[Load (kVA)]
),
"")</f>
        <v>149</v>
      </c>
      <c r="J13" s="29">
        <v>400</v>
      </c>
      <c r="K13" s="66">
        <f t="shared" si="0"/>
        <v>0.3725</v>
      </c>
    </row>
    <row r="14" spans="1:11" ht="17.399999999999999">
      <c r="A14" s="37">
        <v>4</v>
      </c>
      <c r="B14" s="30" t="s">
        <v>23</v>
      </c>
      <c r="C14" s="30" t="s">
        <v>24</v>
      </c>
      <c r="D14" s="30" t="s">
        <v>25</v>
      </c>
      <c r="E14" s="30" t="s">
        <v>26</v>
      </c>
      <c r="F14" s="126" cm="1">
        <f t="array" ref="F14">IFERROR(
_xlfn.XLOOKUP(
1,
(UPS_data[Month]=$H$1)*
(UPS_data[UPS]=$C14),
UPS_data[Voltage (V)]
),
"")</f>
        <v>399</v>
      </c>
      <c r="G14" s="126" cm="1">
        <f t="array" ref="G14">IFERROR(
_xlfn.XLOOKUP(
1,
(UPS_data[Month]=$H$1)*
(UPS_data[UPS]=$C14),
UPS_data[Current (A)]
),
"")</f>
        <v>221</v>
      </c>
      <c r="H14" s="126" cm="1">
        <f t="array" ref="H14">IFERROR(
_xlfn.XLOOKUP(
1,
(UPS_data[Month]=$H$1)*
(UPS_data[UPS]=$C14),
UPS_data[Load (kW)]
),
"")</f>
        <v>151</v>
      </c>
      <c r="I14" s="126" cm="1">
        <f t="array" ref="I14">IFERROR(
_xlfn.XLOOKUP(
1,
(UPS_data[Month]=$H$1)*
(UPS_data[UPS]=$C14),
UPS_data[Load (kVA)]
),
"")</f>
        <v>151</v>
      </c>
      <c r="J14" s="30">
        <v>400</v>
      </c>
      <c r="K14" s="67">
        <f t="shared" si="0"/>
        <v>0.3775</v>
      </c>
    </row>
    <row r="15" spans="1:11" ht="17.399999999999999">
      <c r="A15" s="35">
        <v>5</v>
      </c>
      <c r="B15" s="29" t="s">
        <v>98</v>
      </c>
      <c r="C15" s="29" t="s">
        <v>28</v>
      </c>
      <c r="D15" s="29" t="s">
        <v>29</v>
      </c>
      <c r="E15" s="29" t="s">
        <v>30</v>
      </c>
      <c r="F15" s="126" cm="1">
        <f t="array" ref="F15">IFERROR(
_xlfn.XLOOKUP(
1,
(UPS_data[Month]=$H$1)*
(UPS_data[UPS]=$C15),
UPS_data[Voltage (V)]
),
"")</f>
        <v>398</v>
      </c>
      <c r="G15" s="126" cm="1">
        <f t="array" ref="G15">IFERROR(
_xlfn.XLOOKUP(
1,
(UPS_data[Month]=$H$1)*
(UPS_data[UPS]=$C15),
UPS_data[Current (A)]
),
"")</f>
        <v>60</v>
      </c>
      <c r="H15" s="126" cm="1">
        <f t="array" ref="H15">IFERROR(
_xlfn.XLOOKUP(
1,
(UPS_data[Month]=$H$1)*
(UPS_data[UPS]=$C15),
UPS_data[Load (kW)]
),
"")</f>
        <v>41</v>
      </c>
      <c r="I15" s="126" cm="1">
        <f t="array" ref="I15">IFERROR(
_xlfn.XLOOKUP(
1,
(UPS_data[Month]=$H$1)*
(UPS_data[UPS]=$C15),
UPS_data[Load (kVA)]
),
"")</f>
        <v>42</v>
      </c>
      <c r="J15" s="29">
        <v>120</v>
      </c>
      <c r="K15" s="66">
        <f t="shared" si="0"/>
        <v>0.35</v>
      </c>
    </row>
    <row r="16" spans="1:11" ht="17.399999999999999">
      <c r="A16" s="37">
        <v>6</v>
      </c>
      <c r="B16" s="30" t="s">
        <v>99</v>
      </c>
      <c r="C16" s="30" t="s">
        <v>565</v>
      </c>
      <c r="D16" s="30" t="s">
        <v>33</v>
      </c>
      <c r="E16" s="30" t="s">
        <v>34</v>
      </c>
      <c r="F16" s="126" cm="1">
        <f t="array" ref="F16">IFERROR(
_xlfn.XLOOKUP(
1,
(UPS_data[Month]=$H$1)*
(UPS_data[UPS]=$C16),
UPS_data[Voltage (V)]
),
"")</f>
        <v>394</v>
      </c>
      <c r="G16" s="126" cm="1">
        <f t="array" ref="G16">IFERROR(
_xlfn.XLOOKUP(
1,
(UPS_data[Month]=$H$1)*
(UPS_data[UPS]=$C16),
UPS_data[Current (A)]
),
"")</f>
        <v>220</v>
      </c>
      <c r="H16" s="126" cm="1">
        <f t="array" ref="H16">IFERROR(
_xlfn.XLOOKUP(
1,
(UPS_data[Month]=$H$1)*
(UPS_data[UPS]=$C16),
UPS_data[Load (kW)]
),
"")</f>
        <v>55</v>
      </c>
      <c r="I16" s="126" cm="1">
        <f t="array" ref="I16">IFERROR(
_xlfn.XLOOKUP(
1,
(UPS_data[Month]=$H$1)*
(UPS_data[UPS]=$C16),
UPS_data[Load (kVA)]
),
"")</f>
        <v>55</v>
      </c>
      <c r="J16" s="30">
        <v>400</v>
      </c>
      <c r="K16" s="67">
        <f t="shared" si="0"/>
        <v>0.13750000000000001</v>
      </c>
    </row>
    <row r="17" spans="1:11" ht="18" thickBot="1">
      <c r="A17" s="68">
        <v>7</v>
      </c>
      <c r="B17" s="69" t="s">
        <v>100</v>
      </c>
      <c r="C17" s="69" t="s">
        <v>566</v>
      </c>
      <c r="D17" s="69" t="s">
        <v>37</v>
      </c>
      <c r="E17" s="69" t="s">
        <v>38</v>
      </c>
      <c r="F17" s="127" cm="1">
        <f t="array" ref="F17">IFERROR(
_xlfn.XLOOKUP(
1,
(UPS_data[Month]=$H$1)*
(UPS_data[UPS]=$C17),
UPS_data[Voltage (V)]
),
"")</f>
        <v>394</v>
      </c>
      <c r="G17" s="127" cm="1">
        <f t="array" ref="G17">IFERROR(
_xlfn.XLOOKUP(
1,
(UPS_data[Month]=$H$1)*
(UPS_data[UPS]=$C17),
UPS_data[Current (A)]
),
"")</f>
        <v>220</v>
      </c>
      <c r="H17" s="127" cm="1">
        <f t="array" ref="H17">IFERROR(
_xlfn.XLOOKUP(
1,
(UPS_data[Month]=$H$1)*
(UPS_data[UPS]=$C17),
UPS_data[Load (kW)]
),
"")</f>
        <v>57</v>
      </c>
      <c r="I17" s="127" cm="1">
        <f t="array" ref="I17">IFERROR(
_xlfn.XLOOKUP(
1,
(UPS_data[Month]=$H$1)*
(UPS_data[UPS]=$C17),
UPS_data[Load (kVA)]
),
"")</f>
        <v>57</v>
      </c>
      <c r="J17" s="69">
        <v>400</v>
      </c>
      <c r="K17" s="70">
        <f t="shared" si="0"/>
        <v>0.14249999999999999</v>
      </c>
    </row>
    <row r="18" spans="1:11" ht="26.4" thickBot="1">
      <c r="A18" s="143" t="s">
        <v>563</v>
      </c>
      <c r="B18" s="143"/>
      <c r="C18" s="143"/>
      <c r="D18" s="143"/>
      <c r="E18" s="143"/>
      <c r="F18" s="23"/>
    </row>
    <row r="19" spans="1:11" ht="34.799999999999997">
      <c r="A19" s="71" t="s">
        <v>39</v>
      </c>
      <c r="B19" s="72" t="s">
        <v>101</v>
      </c>
      <c r="C19" s="72" t="s">
        <v>102</v>
      </c>
      <c r="D19" s="72" t="s">
        <v>103</v>
      </c>
      <c r="E19" s="72" t="s">
        <v>104</v>
      </c>
      <c r="F19" s="73" t="s">
        <v>111</v>
      </c>
      <c r="H19" s="50"/>
      <c r="I19" s="50"/>
    </row>
    <row r="20" spans="1:11" ht="17.399999999999999">
      <c r="A20" s="124">
        <f>EDATE($H$1,-1)</f>
        <v>46113</v>
      </c>
      <c r="B20" s="47">
        <f>_xlfn.XLOOKUP(
    $A$20,
    '2. Air Energy Consumption Log'!$A:$A,
    '2. Air Energy Consumption Log'!$B:$B,
    ""
)</f>
        <v>19.388562</v>
      </c>
      <c r="C20" s="47">
        <f>_xlfn.XLOOKUP(
    $A$20,
    '2. Air Energy Consumption Log'!$A$2:$A$99,
    '2. Air Energy Consumption Log'!$C$2:$C$99,
    ""
)</f>
        <v>21.640239999999999</v>
      </c>
      <c r="D20" s="47">
        <f>_xlfn.XLOOKUP(
    $A$20,
    '2. Air Energy Consumption Log'!$A$2:$A$99,
    '2. Air Energy Consumption Log'!$D$2:$D$99,
    ""
)</f>
        <v>10.030904</v>
      </c>
      <c r="E20" s="47">
        <f>_xlfn.XLOOKUP(
    $A$20,
    '2. Air Energy Consumption Log'!$A$2:$A$99,
    '2. Air Energy Consumption Log'!$E$2:$E$99,
    ""
)</f>
        <v>9.0094911999999994</v>
      </c>
      <c r="F20" s="144">
        <f>SUM(B22:E22)*1000000</f>
        <v>350895.60000000295</v>
      </c>
      <c r="H20" s="50"/>
      <c r="I20" s="50"/>
    </row>
    <row r="21" spans="1:11" ht="17.399999999999999">
      <c r="A21" s="124">
        <f>$H$1</f>
        <v>46143</v>
      </c>
      <c r="B21" s="128">
        <f>_xlfn.XLOOKUP(
    $A$21,
    '2. Air Energy Consumption Log'!$A:$A,
    '2. Air Energy Consumption Log'!$B:$B,
    ""
)</f>
        <v>19.48723</v>
      </c>
      <c r="C21" s="128">
        <f>_xlfn.XLOOKUP(
    $A$21,
    '2. Air Energy Consumption Log'!$A$2:$A$99,
    '2. Air Energy Consumption Log'!$C$2:$C$99,
    ""
)</f>
        <v>21.72832</v>
      </c>
      <c r="D21" s="128">
        <f>_xlfn.XLOOKUP(
    $A$21,
    '2. Air Energy Consumption Log'!$A$2:$A$99,
    '2. Air Energy Consumption Log'!$D$2:$D$99,
    ""
)</f>
        <v>10.116334</v>
      </c>
      <c r="E21" s="128">
        <f>_xlfn.XLOOKUP(
    $A$21,
    '2. Air Energy Consumption Log'!$A$2:$A$99,
    '2. Air Energy Consumption Log'!$E$2:$E$99,
    ""
)</f>
        <v>9.0882088000000003</v>
      </c>
      <c r="F21" s="144"/>
    </row>
    <row r="22" spans="1:11" ht="18" thickBot="1">
      <c r="A22" s="74" t="s">
        <v>112</v>
      </c>
      <c r="B22" s="75">
        <f>B21-B20</f>
        <v>9.8667999999999978E-2</v>
      </c>
      <c r="C22" s="75">
        <f t="shared" ref="C22:E22" si="1">C21-C20</f>
        <v>8.808000000000149E-2</v>
      </c>
      <c r="D22" s="75">
        <f t="shared" si="1"/>
        <v>8.5430000000000561E-2</v>
      </c>
      <c r="E22" s="75">
        <f t="shared" si="1"/>
        <v>7.8717600000000942E-2</v>
      </c>
      <c r="F22" s="145"/>
    </row>
    <row r="23" spans="1:11" ht="26.4" thickBot="1">
      <c r="A23" s="143" t="s">
        <v>567</v>
      </c>
      <c r="B23" s="143"/>
      <c r="C23" s="143"/>
      <c r="D23" s="143"/>
      <c r="E23" s="143"/>
    </row>
    <row r="24" spans="1:11" ht="34.799999999999997">
      <c r="A24" s="31" t="s">
        <v>115</v>
      </c>
      <c r="B24" s="32" t="s">
        <v>113</v>
      </c>
      <c r="C24" s="32" t="s">
        <v>114</v>
      </c>
      <c r="D24" s="32" t="s">
        <v>116</v>
      </c>
      <c r="E24" s="32" t="s">
        <v>95</v>
      </c>
      <c r="F24" s="32" t="s">
        <v>117</v>
      </c>
      <c r="G24" s="76" t="s">
        <v>111</v>
      </c>
    </row>
    <row r="25" spans="1:11" ht="17.399999999999999">
      <c r="A25" s="77" t="s">
        <v>91</v>
      </c>
      <c r="B25" s="129" cm="1">
        <f t="array" ref="B25">IFERROR(
    _xlfn.XLOOKUP(
        1,
        (PPC_DC[Month]=$H$1)*
        (PPC_DC[DC Power Panel]=$A25),
        PPC_DC[DC Voltage (V)]
    ),
    ""
)</f>
        <v>54</v>
      </c>
      <c r="C25" s="129" cm="1">
        <f t="array" ref="C25">IFERROR(
    _xlfn.XLOOKUP(
        1,
        (PPC_DC[Month]=$H$1)*
        (PPC_DC[DC Power Panel]=$A25),
        PPC_DC[DC Current (A)]
    ),
    ""
)</f>
        <v>65.3</v>
      </c>
      <c r="D25" s="45">
        <f>B25*C25</f>
        <v>3526.2</v>
      </c>
      <c r="E25" s="45">
        <f>D25/200</f>
        <v>17.631</v>
      </c>
      <c r="F25" s="45">
        <f>E25*220</f>
        <v>3878.82</v>
      </c>
      <c r="G25" s="78">
        <f>(F25/1000)*24*$H$2</f>
        <v>2885.8420799999999</v>
      </c>
    </row>
    <row r="26" spans="1:11" ht="17.399999999999999">
      <c r="A26" s="79" t="s">
        <v>92</v>
      </c>
      <c r="B26" s="129" cm="1">
        <f t="array" ref="B26">IFERROR(
    _xlfn.XLOOKUP(
        1,
        (PPC_DC[Month]=$H$1)*
        (PPC_DC[DC Power Panel]=$A26),
        PPC_DC[DC Voltage (V)]
    ),
    ""
)</f>
        <v>53.6</v>
      </c>
      <c r="C26" s="129" cm="1">
        <f t="array" ref="C26">IFERROR(
    _xlfn.XLOOKUP(
        1,
        (PPC_DC[Month]=$H$1)*
        (PPC_DC[DC Power Panel]=$A26),
        PPC_DC[DC Current (A)]
    ),
    ""
)</f>
        <v>68.400000000000006</v>
      </c>
      <c r="D26" s="44">
        <f>B26*C26</f>
        <v>3666.2400000000002</v>
      </c>
      <c r="E26" s="44">
        <f>D26/200</f>
        <v>18.331200000000003</v>
      </c>
      <c r="F26" s="44">
        <f>E26*220</f>
        <v>4032.8640000000005</v>
      </c>
      <c r="G26" s="80">
        <f t="shared" ref="G26:G27" si="2">(F26/1000)*24*$H$2</f>
        <v>3000.4508160000009</v>
      </c>
    </row>
    <row r="27" spans="1:11" ht="17.399999999999999">
      <c r="A27" s="77" t="s">
        <v>93</v>
      </c>
      <c r="B27" s="129" cm="1">
        <f t="array" ref="B27">IFERROR(
    _xlfn.XLOOKUP(
        1,
        (PPC_DC[Month]=$H$1)*
        (PPC_DC[DC Power Panel]=$A27),
        PPC_DC[DC Voltage (V)]
    ),
    ""
)</f>
        <v>53.94</v>
      </c>
      <c r="C27" s="129" cm="1">
        <f t="array" ref="C27">IFERROR(
    _xlfn.XLOOKUP(
        1,
        (PPC_DC[Month]=$H$1)*
        (PPC_DC[DC Power Panel]=$A27),
        PPC_DC[DC Current (A)]
    ),
    ""
)</f>
        <v>5.0999999999999996</v>
      </c>
      <c r="D27" s="45">
        <f>B27*C27</f>
        <v>275.09399999999999</v>
      </c>
      <c r="E27" s="45">
        <f>D27/200</f>
        <v>1.37547</v>
      </c>
      <c r="F27" s="45">
        <f>E27*220</f>
        <v>302.60339999999997</v>
      </c>
      <c r="G27" s="78">
        <f t="shared" si="2"/>
        <v>225.13692959999997</v>
      </c>
    </row>
    <row r="28" spans="1:11" ht="17.399999999999999">
      <c r="A28" s="79" t="s">
        <v>94</v>
      </c>
      <c r="B28" s="129" cm="1">
        <f t="array" ref="B28">IFERROR(
    _xlfn.XLOOKUP(
        1,
        (PPC_DC[Month]=$H$1)*
        (PPC_DC[DC Power Panel]=$A28),
        PPC_DC[DC Voltage (V)]
    ),
    ""
)</f>
        <v>53.87</v>
      </c>
      <c r="C28" s="129" cm="1">
        <f t="array" ref="C28">IFERROR(
    _xlfn.XLOOKUP(
        1,
        (PPC_DC[Month]=$H$1)*
        (PPC_DC[DC Power Panel]=$A28),
        PPC_DC[DC Current (A)]
    ),
    ""
)</f>
        <v>4.5</v>
      </c>
      <c r="D28" s="44">
        <f>B28*C28</f>
        <v>242.41499999999999</v>
      </c>
      <c r="E28" s="44">
        <f>D28/200</f>
        <v>1.212075</v>
      </c>
      <c r="F28" s="44">
        <f>E28*220</f>
        <v>266.65649999999999</v>
      </c>
      <c r="G28" s="80">
        <f>(F28/1000)*24*$H$2</f>
        <v>198.392436</v>
      </c>
    </row>
    <row r="29" spans="1:11" ht="18" thickBot="1">
      <c r="A29" s="81" t="s">
        <v>77</v>
      </c>
      <c r="B29" s="82"/>
      <c r="C29" s="82"/>
      <c r="D29" s="82"/>
      <c r="E29" s="82"/>
      <c r="F29" s="83"/>
      <c r="G29" s="103">
        <f>SUM(G25:G28)</f>
        <v>6309.8222616000012</v>
      </c>
    </row>
    <row r="30" spans="1:11" ht="26.4" customHeight="1">
      <c r="A30" s="143" t="s">
        <v>564</v>
      </c>
      <c r="B30" s="143"/>
      <c r="C30" s="143"/>
      <c r="D30" s="143"/>
      <c r="E30" s="143"/>
    </row>
    <row r="31" spans="1:11" ht="61.8" customHeight="1">
      <c r="A31" s="134" t="s">
        <v>39</v>
      </c>
      <c r="B31" s="135" t="s">
        <v>109</v>
      </c>
      <c r="C31" s="135" t="s">
        <v>120</v>
      </c>
      <c r="D31" s="136" t="s">
        <v>118</v>
      </c>
      <c r="E31" s="136" t="s">
        <v>71</v>
      </c>
      <c r="F31" s="135" t="s">
        <v>40</v>
      </c>
      <c r="G31" s="137" t="s">
        <v>119</v>
      </c>
    </row>
    <row r="32" spans="1:11" ht="17.399999999999999">
      <c r="A32" s="138">
        <f>$H$1</f>
        <v>46143</v>
      </c>
      <c r="B32" s="132">
        <f>IFERROR(
    _xlfn.XLOOKUP(
        $A32,
        Overall_Energy[Month],
        Overall_Energy[Building Energy Consumption (kWh)]
    ),
    ""
)</f>
        <v>3723000</v>
      </c>
      <c r="C32" s="132">
        <f>IFERROR(
    _xlfn.XLOOKUP(
        $A32,
         Overall_Energy[Month],
        Overall_Energy[Building Electricity Cost (THB)]
    ),
    ""
)</f>
        <v>13949759.4</v>
      </c>
      <c r="D32" s="139">
        <f>H8+F20+G29</f>
        <v>928597.42226160294</v>
      </c>
      <c r="E32" s="140">
        <f>(C32/B32)*D32</f>
        <v>3479374.3271580888</v>
      </c>
      <c r="F32" s="140">
        <f>Table6[[#This Row],[Building Electricity Cost (THB)]]/Table6[[#This Row],[Building Energy Consumption (kWh)]]</f>
        <v>3.7469136180499598</v>
      </c>
      <c r="G32" s="133">
        <f>D32/B32</f>
        <v>0.24942181634746252</v>
      </c>
    </row>
    <row r="34" spans="6:7">
      <c r="F34" s="19"/>
      <c r="G34" s="48"/>
    </row>
  </sheetData>
  <mergeCells count="7">
    <mergeCell ref="A1:E1"/>
    <mergeCell ref="A30:E30"/>
    <mergeCell ref="A18:E18"/>
    <mergeCell ref="A23:E23"/>
    <mergeCell ref="F20:F22"/>
    <mergeCell ref="A2:F2"/>
    <mergeCell ref="A8:B8"/>
  </mergeCells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1DF7A9-86BB-4BAC-BF76-2C1C93763A0A}">
          <x14:formula1>
            <xm:f>month!$A$1:$A$24</xm:f>
          </x14:formula1>
          <xm:sqref>H1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44853-7C25-4B1E-A359-98BE3D195DFE}">
  <sheetPr codeName="Sheet11"/>
  <dimension ref="A1"/>
  <sheetViews>
    <sheetView workbookViewId="0">
      <selection activeCell="Y30" sqref="Y30"/>
    </sheetView>
  </sheetViews>
  <sheetFormatPr defaultRowHeight="13.2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58FE0-FFF5-4855-8CEE-B3424B356C37}">
  <sheetPr codeName="Sheet3">
    <tabColor theme="5"/>
  </sheetPr>
  <dimension ref="A2:I27"/>
  <sheetViews>
    <sheetView zoomScale="70" zoomScaleNormal="70" workbookViewId="0">
      <selection activeCell="B5" sqref="B5"/>
    </sheetView>
  </sheetViews>
  <sheetFormatPr defaultRowHeight="17.399999999999999"/>
  <cols>
    <col min="1" max="1" width="9.77734375" style="92" customWidth="1"/>
    <col min="2" max="2" width="30.6640625" style="23" bestFit="1" customWidth="1"/>
    <col min="3" max="3" width="24.88671875" style="23" bestFit="1" customWidth="1"/>
    <col min="4" max="4" width="25.77734375" style="23" bestFit="1" customWidth="1"/>
    <col min="5" max="5" width="25" style="23" bestFit="1" customWidth="1"/>
    <col min="6" max="6" width="11.6640625" style="23" bestFit="1" customWidth="1"/>
    <col min="7" max="7" width="8.88671875" style="23"/>
    <col min="8" max="8" width="32" style="23" bestFit="1" customWidth="1"/>
    <col min="9" max="9" width="16.33203125" style="23" bestFit="1" customWidth="1"/>
    <col min="10" max="16384" width="8.88671875" style="23"/>
  </cols>
  <sheetData>
    <row r="2" spans="1:9" ht="19.95" customHeight="1">
      <c r="A2" s="102" t="s">
        <v>78</v>
      </c>
      <c r="B2" s="101">
        <v>46174</v>
      </c>
      <c r="C2" s="130">
        <f>DAY(EOMONTH(B2, 0))</f>
        <v>30</v>
      </c>
      <c r="H2" s="23" t="s">
        <v>97</v>
      </c>
    </row>
    <row r="3" spans="1:9">
      <c r="A3" s="152" t="s">
        <v>2</v>
      </c>
      <c r="B3" s="152"/>
      <c r="C3" s="152"/>
      <c r="D3" s="152"/>
      <c r="E3" s="152"/>
      <c r="F3" s="152"/>
    </row>
    <row r="4" spans="1:9">
      <c r="A4" s="102" t="s">
        <v>78</v>
      </c>
      <c r="B4" s="85" t="s">
        <v>2</v>
      </c>
      <c r="C4" s="85" t="s">
        <v>5</v>
      </c>
      <c r="D4" s="85" t="s">
        <v>6</v>
      </c>
      <c r="E4" s="85" t="s">
        <v>7</v>
      </c>
      <c r="F4" s="86" t="s">
        <v>8</v>
      </c>
      <c r="I4" s="49"/>
    </row>
    <row r="5" spans="1:9">
      <c r="A5" s="96">
        <f>$B$2</f>
        <v>46174</v>
      </c>
      <c r="B5" s="87" t="s">
        <v>12</v>
      </c>
      <c r="C5" s="88"/>
      <c r="D5" s="88"/>
      <c r="E5" s="88"/>
      <c r="F5" s="89"/>
      <c r="I5" s="49"/>
    </row>
    <row r="6" spans="1:9">
      <c r="A6" s="96">
        <f>$B$2</f>
        <v>46174</v>
      </c>
      <c r="B6" s="90" t="s">
        <v>16</v>
      </c>
      <c r="C6" s="88"/>
      <c r="D6" s="88"/>
      <c r="E6" s="88"/>
      <c r="F6" s="89"/>
      <c r="I6" s="125"/>
    </row>
    <row r="7" spans="1:9">
      <c r="A7" s="96">
        <f t="shared" ref="A7:A11" si="0">$B$2</f>
        <v>46174</v>
      </c>
      <c r="B7" s="87" t="s">
        <v>20</v>
      </c>
      <c r="C7" s="88"/>
      <c r="D7" s="88"/>
      <c r="E7" s="88"/>
      <c r="F7" s="89"/>
    </row>
    <row r="8" spans="1:9">
      <c r="A8" s="96">
        <f t="shared" si="0"/>
        <v>46174</v>
      </c>
      <c r="B8" s="90" t="s">
        <v>24</v>
      </c>
      <c r="C8" s="88"/>
      <c r="D8" s="88"/>
      <c r="E8" s="88"/>
      <c r="F8" s="89"/>
    </row>
    <row r="9" spans="1:9">
      <c r="A9" s="96">
        <f t="shared" si="0"/>
        <v>46174</v>
      </c>
      <c r="B9" s="87" t="s">
        <v>28</v>
      </c>
      <c r="C9" s="88"/>
      <c r="D9" s="88"/>
      <c r="E9" s="88"/>
      <c r="F9" s="89"/>
    </row>
    <row r="10" spans="1:9">
      <c r="A10" s="96">
        <f t="shared" si="0"/>
        <v>46174</v>
      </c>
      <c r="B10" s="90" t="s">
        <v>32</v>
      </c>
      <c r="C10" s="88"/>
      <c r="D10" s="88"/>
      <c r="E10" s="88"/>
      <c r="F10" s="89"/>
    </row>
    <row r="11" spans="1:9">
      <c r="A11" s="96">
        <f t="shared" si="0"/>
        <v>46174</v>
      </c>
      <c r="B11" s="87" t="s">
        <v>36</v>
      </c>
      <c r="C11" s="88"/>
      <c r="D11" s="88"/>
      <c r="E11" s="88"/>
      <c r="F11" s="89"/>
    </row>
    <row r="13" spans="1:9">
      <c r="A13" s="150" t="s">
        <v>96</v>
      </c>
      <c r="B13" s="150"/>
      <c r="C13" s="150"/>
      <c r="D13" s="150"/>
      <c r="E13" s="150"/>
    </row>
    <row r="14" spans="1:9">
      <c r="A14" s="102" t="s">
        <v>78</v>
      </c>
      <c r="B14" s="95" t="s">
        <v>101</v>
      </c>
      <c r="C14" s="95" t="s">
        <v>102</v>
      </c>
      <c r="D14" s="95" t="s">
        <v>103</v>
      </c>
      <c r="E14" s="95" t="s">
        <v>104</v>
      </c>
    </row>
    <row r="15" spans="1:9" hidden="1">
      <c r="A15" s="124">
        <f>EDATE(B2,-1)</f>
        <v>46143</v>
      </c>
      <c r="B15" s="47">
        <f>_xlfn.XLOOKUP(
    $A$15,
    '2. Air Energy Consumption Log'!$A:$A,
    '2. Air Energy Consumption Log'!B:B
)</f>
        <v>19.48723</v>
      </c>
      <c r="C15" s="47">
        <f>_xlfn.XLOOKUP(
    $A$15,
    '2. Air Energy Consumption Log'!$A:$A,
    '2. Air Energy Consumption Log'!$C:$C,
    ""
)</f>
        <v>21.72832</v>
      </c>
      <c r="D15" s="47">
        <f>_xlfn.XLOOKUP(
    $A$15,
    '2. Air Energy Consumption Log'!$A$2:$A$100,
    '2. Air Energy Consumption Log'!$D$2:$D$100,
    ""
)</f>
        <v>10.116334</v>
      </c>
      <c r="E15" s="47">
        <f>_xlfn.XLOOKUP(
    $A$15,
    '2. Air Energy Consumption Log'!$A$2:$A$100,
    '2. Air Energy Consumption Log'!$E$2:$E$100,
    ""
)</f>
        <v>9.0882088000000003</v>
      </c>
    </row>
    <row r="16" spans="1:9">
      <c r="A16" s="96">
        <f>$B$2</f>
        <v>46174</v>
      </c>
      <c r="B16" s="97"/>
      <c r="C16" s="97"/>
      <c r="D16" s="97"/>
      <c r="E16" s="98"/>
    </row>
    <row r="18" spans="1:4">
      <c r="A18" s="151" t="s">
        <v>115</v>
      </c>
      <c r="B18" s="151"/>
      <c r="C18" s="151"/>
      <c r="D18" s="151"/>
    </row>
    <row r="19" spans="1:4">
      <c r="A19" s="91" t="s">
        <v>78</v>
      </c>
      <c r="B19" s="92" t="s">
        <v>115</v>
      </c>
      <c r="C19" s="92" t="s">
        <v>113</v>
      </c>
      <c r="D19" s="92" t="s">
        <v>114</v>
      </c>
    </row>
    <row r="20" spans="1:4">
      <c r="A20" s="96">
        <f t="shared" ref="A20:A23" si="1">$B$2</f>
        <v>46174</v>
      </c>
      <c r="B20" s="93" t="s">
        <v>91</v>
      </c>
      <c r="C20" s="94"/>
      <c r="D20" s="94"/>
    </row>
    <row r="21" spans="1:4">
      <c r="A21" s="96">
        <f t="shared" si="1"/>
        <v>46174</v>
      </c>
      <c r="B21" s="93" t="s">
        <v>92</v>
      </c>
      <c r="C21" s="94"/>
      <c r="D21" s="94"/>
    </row>
    <row r="22" spans="1:4">
      <c r="A22" s="96">
        <f t="shared" si="1"/>
        <v>46174</v>
      </c>
      <c r="B22" s="93" t="s">
        <v>93</v>
      </c>
      <c r="C22" s="94"/>
      <c r="D22" s="94"/>
    </row>
    <row r="23" spans="1:4">
      <c r="A23" s="96">
        <f t="shared" si="1"/>
        <v>46174</v>
      </c>
      <c r="B23" s="93" t="s">
        <v>94</v>
      </c>
      <c r="C23" s="94"/>
      <c r="D23" s="94"/>
    </row>
    <row r="24" spans="1:4">
      <c r="A24" s="23"/>
    </row>
    <row r="25" spans="1:4">
      <c r="A25" s="153" t="s">
        <v>123</v>
      </c>
      <c r="B25" s="153"/>
      <c r="C25" s="153"/>
    </row>
    <row r="26" spans="1:4" ht="34.799999999999997">
      <c r="A26" s="102" t="s">
        <v>78</v>
      </c>
      <c r="B26" s="99" t="s">
        <v>122</v>
      </c>
      <c r="C26" s="99" t="s">
        <v>110</v>
      </c>
    </row>
    <row r="27" spans="1:4">
      <c r="A27" s="96">
        <f t="shared" ref="A27" si="2">$B$2</f>
        <v>46174</v>
      </c>
      <c r="B27" s="97"/>
      <c r="C27" s="97"/>
    </row>
  </sheetData>
  <mergeCells count="4">
    <mergeCell ref="A13:E13"/>
    <mergeCell ref="A18:D18"/>
    <mergeCell ref="A3:F3"/>
    <mergeCell ref="A25:C25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utton 12">
              <controlPr defaultSize="0" print="0" autoFill="0" autoPict="0" macro="[0]!upstest2">
                <anchor moveWithCells="1" sizeWithCells="1">
                  <from>
                    <xdr:col>7</xdr:col>
                    <xdr:colOff>0</xdr:colOff>
                    <xdr:row>8</xdr:row>
                    <xdr:rowOff>7620</xdr:rowOff>
                  </from>
                  <to>
                    <xdr:col>7</xdr:col>
                    <xdr:colOff>1661160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airtest">
                <anchor moveWithCells="1" sizeWithCells="1">
                  <from>
                    <xdr:col>5</xdr:col>
                    <xdr:colOff>53340</xdr:colOff>
                    <xdr:row>11</xdr:row>
                    <xdr:rowOff>205740</xdr:rowOff>
                  </from>
                  <to>
                    <xdr:col>7</xdr:col>
                    <xdr:colOff>289560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dctest">
                <anchor moveWithCells="1" sizeWithCells="1">
                  <from>
                    <xdr:col>4</xdr:col>
                    <xdr:colOff>205740</xdr:colOff>
                    <xdr:row>18</xdr:row>
                    <xdr:rowOff>182880</xdr:rowOff>
                  </from>
                  <to>
                    <xdr:col>5</xdr:col>
                    <xdr:colOff>137160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energytest2">
                <anchor moveWithCells="1" sizeWithCells="1">
                  <from>
                    <xdr:col>3</xdr:col>
                    <xdr:colOff>83820</xdr:colOff>
                    <xdr:row>24</xdr:row>
                    <xdr:rowOff>22860</xdr:rowOff>
                  </from>
                  <to>
                    <xdr:col>3</xdr:col>
                    <xdr:colOff>1722120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7B7833-78BD-494A-B0D4-4747FB04CCDE}">
          <x14:formula1>
            <xm:f>month!$A$1:$A$24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8D3F1-4D0D-4ECA-9CDF-EC7D3C544D7C}">
  <sheetPr codeName="Sheet2"/>
  <dimension ref="A1:F37"/>
  <sheetViews>
    <sheetView workbookViewId="0">
      <selection activeCell="A2" sqref="A2:F37"/>
    </sheetView>
  </sheetViews>
  <sheetFormatPr defaultRowHeight="13.2"/>
  <cols>
    <col min="1" max="1" width="10.77734375" style="54" customWidth="1"/>
    <col min="2" max="2" width="20.77734375" style="2" customWidth="1"/>
    <col min="3" max="6" width="20.77734375" customWidth="1"/>
  </cols>
  <sheetData>
    <row r="1" spans="1:6" ht="20.399999999999999" customHeight="1">
      <c r="A1" s="55" t="s">
        <v>105</v>
      </c>
    </row>
    <row r="2" spans="1:6" s="3" customFormat="1">
      <c r="A2" s="41" t="s">
        <v>78</v>
      </c>
      <c r="B2" s="41" t="s">
        <v>2</v>
      </c>
      <c r="C2" s="3" t="s">
        <v>5</v>
      </c>
      <c r="D2" s="3" t="s">
        <v>6</v>
      </c>
      <c r="E2" s="3" t="s">
        <v>7</v>
      </c>
      <c r="F2" s="3" t="s">
        <v>8</v>
      </c>
    </row>
    <row r="3" spans="1:6">
      <c r="A3" s="51">
        <v>46023</v>
      </c>
      <c r="B3" s="2" t="s">
        <v>12</v>
      </c>
      <c r="C3">
        <v>397</v>
      </c>
      <c r="D3">
        <v>231</v>
      </c>
      <c r="E3">
        <v>160</v>
      </c>
      <c r="F3">
        <v>160</v>
      </c>
    </row>
    <row r="4" spans="1:6">
      <c r="A4" s="51">
        <v>46023</v>
      </c>
      <c r="B4" s="2" t="s">
        <v>16</v>
      </c>
      <c r="C4">
        <v>397</v>
      </c>
      <c r="D4">
        <v>230</v>
      </c>
      <c r="E4">
        <v>159</v>
      </c>
      <c r="F4">
        <v>159</v>
      </c>
    </row>
    <row r="5" spans="1:6">
      <c r="A5" s="51">
        <v>46023</v>
      </c>
      <c r="B5" s="2" t="s">
        <v>20</v>
      </c>
      <c r="C5">
        <v>395</v>
      </c>
      <c r="D5">
        <v>219</v>
      </c>
      <c r="E5">
        <v>149</v>
      </c>
      <c r="F5">
        <v>150</v>
      </c>
    </row>
    <row r="6" spans="1:6">
      <c r="A6" s="51">
        <v>46023</v>
      </c>
      <c r="B6" s="2" t="s">
        <v>24</v>
      </c>
      <c r="C6">
        <v>398</v>
      </c>
      <c r="D6">
        <v>221</v>
      </c>
      <c r="E6">
        <v>152</v>
      </c>
      <c r="F6">
        <v>152</v>
      </c>
    </row>
    <row r="7" spans="1:6">
      <c r="A7" s="51">
        <v>46023</v>
      </c>
      <c r="B7" s="2" t="s">
        <v>28</v>
      </c>
      <c r="C7">
        <v>398</v>
      </c>
      <c r="D7">
        <v>58</v>
      </c>
      <c r="E7">
        <v>41</v>
      </c>
      <c r="F7">
        <v>42</v>
      </c>
    </row>
    <row r="8" spans="1:6">
      <c r="A8" s="51">
        <v>46023</v>
      </c>
      <c r="B8" s="2" t="s">
        <v>565</v>
      </c>
      <c r="C8">
        <v>394</v>
      </c>
      <c r="D8">
        <v>227</v>
      </c>
      <c r="E8">
        <v>55</v>
      </c>
      <c r="F8">
        <v>55</v>
      </c>
    </row>
    <row r="9" spans="1:6">
      <c r="A9" s="51">
        <v>46023</v>
      </c>
      <c r="B9" s="2" t="s">
        <v>566</v>
      </c>
      <c r="C9">
        <v>394</v>
      </c>
      <c r="D9">
        <v>224</v>
      </c>
      <c r="E9">
        <v>58</v>
      </c>
      <c r="F9">
        <v>58</v>
      </c>
    </row>
    <row r="10" spans="1:6">
      <c r="A10" s="51">
        <v>46054</v>
      </c>
      <c r="B10" s="2" t="s">
        <v>12</v>
      </c>
      <c r="C10">
        <v>397</v>
      </c>
      <c r="D10">
        <v>231</v>
      </c>
      <c r="E10">
        <v>154</v>
      </c>
      <c r="F10">
        <v>154</v>
      </c>
    </row>
    <row r="11" spans="1:6">
      <c r="A11" s="51">
        <v>46054</v>
      </c>
      <c r="B11" s="2" t="s">
        <v>16</v>
      </c>
      <c r="C11">
        <v>397</v>
      </c>
      <c r="D11">
        <v>230</v>
      </c>
      <c r="E11">
        <v>155</v>
      </c>
      <c r="F11">
        <v>156</v>
      </c>
    </row>
    <row r="12" spans="1:6">
      <c r="A12" s="51">
        <v>46054</v>
      </c>
      <c r="B12" s="2" t="s">
        <v>20</v>
      </c>
      <c r="C12">
        <v>398</v>
      </c>
      <c r="D12">
        <v>221</v>
      </c>
      <c r="E12">
        <v>149</v>
      </c>
      <c r="F12">
        <v>150</v>
      </c>
    </row>
    <row r="13" spans="1:6">
      <c r="A13" s="51">
        <v>46054</v>
      </c>
      <c r="B13" s="2" t="s">
        <v>24</v>
      </c>
      <c r="C13">
        <v>398</v>
      </c>
      <c r="D13">
        <v>224</v>
      </c>
      <c r="E13">
        <v>151</v>
      </c>
      <c r="F13">
        <v>151</v>
      </c>
    </row>
    <row r="14" spans="1:6">
      <c r="A14" s="51">
        <v>46054</v>
      </c>
      <c r="B14" s="2" t="s">
        <v>28</v>
      </c>
      <c r="C14">
        <v>398</v>
      </c>
      <c r="D14">
        <v>59</v>
      </c>
      <c r="E14">
        <v>42</v>
      </c>
      <c r="F14">
        <v>43</v>
      </c>
    </row>
    <row r="15" spans="1:6">
      <c r="A15" s="51">
        <v>46054</v>
      </c>
      <c r="B15" s="2" t="s">
        <v>565</v>
      </c>
      <c r="C15">
        <v>394</v>
      </c>
      <c r="D15">
        <v>225</v>
      </c>
      <c r="E15">
        <v>54</v>
      </c>
      <c r="F15">
        <v>54</v>
      </c>
    </row>
    <row r="16" spans="1:6">
      <c r="A16" s="51">
        <v>46054</v>
      </c>
      <c r="B16" s="2" t="s">
        <v>566</v>
      </c>
      <c r="C16">
        <v>394</v>
      </c>
      <c r="D16">
        <v>223</v>
      </c>
      <c r="E16">
        <v>58</v>
      </c>
      <c r="F16">
        <v>58</v>
      </c>
    </row>
    <row r="17" spans="1:6">
      <c r="A17" s="51">
        <v>46082</v>
      </c>
      <c r="B17" s="2" t="s">
        <v>12</v>
      </c>
      <c r="C17">
        <v>397</v>
      </c>
      <c r="D17">
        <v>230</v>
      </c>
      <c r="E17">
        <v>157</v>
      </c>
      <c r="F17">
        <v>158</v>
      </c>
    </row>
    <row r="18" spans="1:6">
      <c r="A18" s="51">
        <v>46082</v>
      </c>
      <c r="B18" s="2" t="s">
        <v>16</v>
      </c>
      <c r="C18">
        <v>397</v>
      </c>
      <c r="D18">
        <v>229</v>
      </c>
      <c r="E18">
        <v>156</v>
      </c>
      <c r="F18">
        <v>157</v>
      </c>
    </row>
    <row r="19" spans="1:6">
      <c r="A19" s="51">
        <v>46082</v>
      </c>
      <c r="B19" s="2" t="s">
        <v>20</v>
      </c>
      <c r="C19">
        <v>398</v>
      </c>
      <c r="D19">
        <v>222</v>
      </c>
      <c r="E19">
        <v>148</v>
      </c>
      <c r="F19">
        <v>148</v>
      </c>
    </row>
    <row r="20" spans="1:6">
      <c r="A20" s="51">
        <v>46082</v>
      </c>
      <c r="B20" s="2" t="s">
        <v>24</v>
      </c>
      <c r="C20">
        <v>398</v>
      </c>
      <c r="D20">
        <v>224</v>
      </c>
      <c r="E20">
        <v>150</v>
      </c>
      <c r="F20">
        <v>150</v>
      </c>
    </row>
    <row r="21" spans="1:6">
      <c r="A21" s="51">
        <v>46082</v>
      </c>
      <c r="B21" s="2" t="s">
        <v>28</v>
      </c>
      <c r="C21">
        <v>398</v>
      </c>
      <c r="D21">
        <v>59</v>
      </c>
      <c r="E21">
        <v>42</v>
      </c>
      <c r="F21">
        <v>43</v>
      </c>
    </row>
    <row r="22" spans="1:6">
      <c r="A22" s="51">
        <v>46082</v>
      </c>
      <c r="B22" s="2" t="s">
        <v>565</v>
      </c>
      <c r="C22">
        <v>394</v>
      </c>
      <c r="D22">
        <v>224</v>
      </c>
      <c r="E22">
        <v>53</v>
      </c>
      <c r="F22">
        <v>53</v>
      </c>
    </row>
    <row r="23" spans="1:6">
      <c r="A23" s="51">
        <v>46082</v>
      </c>
      <c r="B23" s="2" t="s">
        <v>566</v>
      </c>
      <c r="C23">
        <v>394</v>
      </c>
      <c r="D23">
        <v>221</v>
      </c>
      <c r="E23">
        <v>56</v>
      </c>
      <c r="F23">
        <v>56</v>
      </c>
    </row>
    <row r="24" spans="1:6">
      <c r="A24" s="51">
        <v>46113</v>
      </c>
      <c r="B24" s="2" t="s">
        <v>12</v>
      </c>
      <c r="C24">
        <v>397</v>
      </c>
      <c r="D24">
        <v>228</v>
      </c>
      <c r="E24">
        <v>167</v>
      </c>
      <c r="F24">
        <v>167</v>
      </c>
    </row>
    <row r="25" spans="1:6">
      <c r="A25" s="51">
        <v>46113</v>
      </c>
      <c r="B25" s="2" t="s">
        <v>16</v>
      </c>
      <c r="C25">
        <v>397</v>
      </c>
      <c r="D25">
        <v>232</v>
      </c>
      <c r="E25">
        <v>167</v>
      </c>
      <c r="F25">
        <v>167</v>
      </c>
    </row>
    <row r="26" spans="1:6">
      <c r="A26" s="51">
        <v>46113</v>
      </c>
      <c r="B26" s="2" t="s">
        <v>20</v>
      </c>
      <c r="C26">
        <v>398</v>
      </c>
      <c r="D26">
        <v>217</v>
      </c>
      <c r="E26">
        <v>144</v>
      </c>
      <c r="F26">
        <v>147</v>
      </c>
    </row>
    <row r="27" spans="1:6">
      <c r="A27" s="51">
        <v>46113</v>
      </c>
      <c r="B27" s="2" t="s">
        <v>24</v>
      </c>
      <c r="C27">
        <v>398</v>
      </c>
      <c r="D27">
        <v>220</v>
      </c>
      <c r="E27">
        <v>147</v>
      </c>
      <c r="F27">
        <v>148</v>
      </c>
    </row>
    <row r="28" spans="1:6">
      <c r="A28" s="51">
        <v>46113</v>
      </c>
      <c r="B28" s="2" t="s">
        <v>28</v>
      </c>
      <c r="C28">
        <v>398</v>
      </c>
      <c r="D28">
        <v>59</v>
      </c>
      <c r="E28">
        <v>42</v>
      </c>
      <c r="F28">
        <v>43</v>
      </c>
    </row>
    <row r="29" spans="1:6">
      <c r="A29" s="51">
        <v>46113</v>
      </c>
      <c r="B29" s="2" t="s">
        <v>565</v>
      </c>
      <c r="C29">
        <v>394</v>
      </c>
      <c r="D29">
        <v>222</v>
      </c>
      <c r="E29">
        <v>55</v>
      </c>
      <c r="F29">
        <v>56</v>
      </c>
    </row>
    <row r="30" spans="1:6">
      <c r="A30" s="51">
        <v>46113</v>
      </c>
      <c r="B30" s="2" t="s">
        <v>566</v>
      </c>
      <c r="C30">
        <v>394</v>
      </c>
      <c r="D30">
        <v>220</v>
      </c>
      <c r="E30">
        <v>58</v>
      </c>
      <c r="F30">
        <v>58</v>
      </c>
    </row>
    <row r="31" spans="1:6">
      <c r="A31" s="53">
        <v>46143</v>
      </c>
      <c r="B31" s="2" t="s">
        <v>12</v>
      </c>
      <c r="C31">
        <v>390</v>
      </c>
      <c r="D31">
        <v>254</v>
      </c>
      <c r="E31">
        <v>157</v>
      </c>
      <c r="F31">
        <v>158</v>
      </c>
    </row>
    <row r="32" spans="1:6">
      <c r="A32" s="53">
        <v>46143</v>
      </c>
      <c r="B32" s="2" t="s">
        <v>16</v>
      </c>
      <c r="C32">
        <v>397</v>
      </c>
      <c r="D32">
        <v>242</v>
      </c>
      <c r="E32">
        <v>158</v>
      </c>
      <c r="F32">
        <v>159</v>
      </c>
    </row>
    <row r="33" spans="1:6">
      <c r="A33" s="53">
        <v>46143</v>
      </c>
      <c r="B33" s="2" t="s">
        <v>20</v>
      </c>
      <c r="C33">
        <v>397</v>
      </c>
      <c r="D33">
        <v>220</v>
      </c>
      <c r="E33">
        <v>149</v>
      </c>
      <c r="F33">
        <v>149</v>
      </c>
    </row>
    <row r="34" spans="1:6">
      <c r="A34" s="53">
        <v>46143</v>
      </c>
      <c r="B34" s="2" t="s">
        <v>24</v>
      </c>
      <c r="C34">
        <v>399</v>
      </c>
      <c r="D34">
        <v>221</v>
      </c>
      <c r="E34">
        <v>151</v>
      </c>
      <c r="F34">
        <v>151</v>
      </c>
    </row>
    <row r="35" spans="1:6">
      <c r="A35" s="53">
        <v>46143</v>
      </c>
      <c r="B35" s="2" t="s">
        <v>28</v>
      </c>
      <c r="C35">
        <v>398</v>
      </c>
      <c r="D35">
        <v>60</v>
      </c>
      <c r="E35">
        <v>41</v>
      </c>
      <c r="F35">
        <v>42</v>
      </c>
    </row>
    <row r="36" spans="1:6">
      <c r="A36" s="53">
        <v>46143</v>
      </c>
      <c r="B36" s="2" t="s">
        <v>565</v>
      </c>
      <c r="C36">
        <v>394</v>
      </c>
      <c r="D36">
        <v>220</v>
      </c>
      <c r="E36">
        <v>55</v>
      </c>
      <c r="F36">
        <v>55</v>
      </c>
    </row>
    <row r="37" spans="1:6">
      <c r="A37" s="53">
        <v>46143</v>
      </c>
      <c r="B37" s="2" t="s">
        <v>566</v>
      </c>
      <c r="C37">
        <v>394</v>
      </c>
      <c r="D37">
        <v>220</v>
      </c>
      <c r="E37">
        <v>57</v>
      </c>
      <c r="F37">
        <v>57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8"/>
  <sheetViews>
    <sheetView workbookViewId="0">
      <selection activeCell="A2" sqref="A2:E68"/>
    </sheetView>
  </sheetViews>
  <sheetFormatPr defaultRowHeight="13.2"/>
  <cols>
    <col min="1" max="1" width="10.77734375" customWidth="1"/>
    <col min="2" max="5" width="20.77734375" customWidth="1"/>
  </cols>
  <sheetData>
    <row r="1" spans="1:5" ht="20.399999999999999" customHeight="1">
      <c r="A1" s="21" t="s">
        <v>563</v>
      </c>
    </row>
    <row r="2" spans="1:5" s="3" customFormat="1">
      <c r="A2" s="41" t="s">
        <v>78</v>
      </c>
      <c r="B2" s="3" t="s">
        <v>101</v>
      </c>
      <c r="C2" s="3" t="s">
        <v>102</v>
      </c>
      <c r="D2" s="3" t="s">
        <v>103</v>
      </c>
      <c r="E2" s="3" t="s">
        <v>104</v>
      </c>
    </row>
    <row r="3" spans="1:5" hidden="1">
      <c r="A3" s="6">
        <v>44166</v>
      </c>
      <c r="B3" s="141">
        <v>13.930982999999999</v>
      </c>
      <c r="C3" s="141">
        <v>16.221992</v>
      </c>
      <c r="D3" s="141">
        <v>5.1310221</v>
      </c>
      <c r="E3" s="141">
        <v>4.5728565999999997</v>
      </c>
    </row>
    <row r="4" spans="1:5" hidden="1">
      <c r="A4" s="6">
        <v>44197</v>
      </c>
      <c r="B4" s="141">
        <v>13.930982999999999</v>
      </c>
      <c r="C4" s="141">
        <v>16.221992</v>
      </c>
      <c r="D4" s="141">
        <v>5.1310221</v>
      </c>
      <c r="E4" s="141">
        <v>4.5728565999999997</v>
      </c>
    </row>
    <row r="5" spans="1:5" hidden="1">
      <c r="A5" s="6">
        <v>44228</v>
      </c>
      <c r="B5" s="141">
        <v>14.013918</v>
      </c>
      <c r="C5" s="141">
        <v>16.305837</v>
      </c>
      <c r="D5" s="141">
        <v>5.2044964</v>
      </c>
      <c r="E5" s="141">
        <v>4.6427531999999996</v>
      </c>
    </row>
    <row r="6" spans="1:5" hidden="1">
      <c r="A6" s="6">
        <v>44257</v>
      </c>
      <c r="B6" s="141">
        <v>14.107044</v>
      </c>
      <c r="C6" s="141">
        <v>16.404934999999998</v>
      </c>
      <c r="D6" s="141">
        <v>5.2856744000000004</v>
      </c>
      <c r="E6" s="141">
        <v>4.7233808000000002</v>
      </c>
    </row>
    <row r="7" spans="1:5" hidden="1">
      <c r="A7" s="6">
        <v>44288</v>
      </c>
      <c r="B7" s="141">
        <v>14.197951</v>
      </c>
      <c r="C7" s="141">
        <v>16.504117000000001</v>
      </c>
      <c r="D7" s="141">
        <v>5.3619735999999998</v>
      </c>
      <c r="E7" s="141">
        <v>4.7917804000000004</v>
      </c>
    </row>
    <row r="8" spans="1:5" hidden="1">
      <c r="A8" s="6">
        <v>44318</v>
      </c>
      <c r="B8" s="141">
        <v>14.295883</v>
      </c>
      <c r="C8" s="141">
        <v>16.603988999999999</v>
      </c>
      <c r="D8" s="141">
        <v>5.4398999999999997</v>
      </c>
      <c r="E8" s="141">
        <v>4.8604251999999999</v>
      </c>
    </row>
    <row r="9" spans="1:5" hidden="1">
      <c r="A9" s="6">
        <v>44349</v>
      </c>
      <c r="B9" s="141">
        <v>14.380701</v>
      </c>
      <c r="C9" s="141">
        <v>16.695176</v>
      </c>
      <c r="D9" s="141">
        <v>5.5007619999999999</v>
      </c>
      <c r="E9" s="141">
        <v>4.9324320999999998</v>
      </c>
    </row>
    <row r="10" spans="1:5" hidden="1">
      <c r="A10" s="6">
        <v>44380</v>
      </c>
      <c r="B10" s="141">
        <v>14.475161</v>
      </c>
      <c r="C10" s="141">
        <v>16.793842999999999</v>
      </c>
      <c r="D10" s="141">
        <v>5.5663244000000001</v>
      </c>
      <c r="E10" s="141">
        <v>5.0053191999999997</v>
      </c>
    </row>
    <row r="11" spans="1:5" hidden="1">
      <c r="A11" s="6">
        <v>44410</v>
      </c>
      <c r="B11" s="141">
        <v>14.571766999999999</v>
      </c>
      <c r="C11" s="141">
        <v>16.888437</v>
      </c>
      <c r="D11" s="141">
        <v>5.6361964000000002</v>
      </c>
      <c r="E11" s="141">
        <v>5.0688143999999999</v>
      </c>
    </row>
    <row r="12" spans="1:5" hidden="1">
      <c r="A12" s="6">
        <v>44441</v>
      </c>
      <c r="B12" s="141">
        <v>14.662291</v>
      </c>
      <c r="C12" s="141">
        <v>16.978802000000002</v>
      </c>
      <c r="D12" s="141">
        <v>5.7077061000000002</v>
      </c>
      <c r="E12" s="141">
        <v>5.1366947999999999</v>
      </c>
    </row>
    <row r="13" spans="1:5" hidden="1">
      <c r="A13" s="6">
        <v>44471</v>
      </c>
      <c r="B13" s="141">
        <v>14.764393999999999</v>
      </c>
      <c r="C13" s="141">
        <v>17.071497999999998</v>
      </c>
      <c r="D13" s="141">
        <v>5.7803760999999998</v>
      </c>
      <c r="E13" s="141">
        <v>5.2021687999999999</v>
      </c>
    </row>
    <row r="14" spans="1:5" hidden="1">
      <c r="A14" s="6">
        <v>44502</v>
      </c>
      <c r="B14" s="141">
        <v>14.859396</v>
      </c>
      <c r="C14" s="141">
        <v>17.155342000000001</v>
      </c>
      <c r="D14" s="141">
        <v>5.8564851999999998</v>
      </c>
      <c r="E14" s="141">
        <v>5.2660412000000001</v>
      </c>
    </row>
    <row r="15" spans="1:5" hidden="1">
      <c r="A15" s="6">
        <v>44532</v>
      </c>
      <c r="B15" s="141">
        <v>14.959565</v>
      </c>
      <c r="C15" s="141">
        <v>17.239564000000001</v>
      </c>
      <c r="D15" s="141">
        <v>5.9318448000000004</v>
      </c>
      <c r="E15" s="141">
        <v>5.3288884000000003</v>
      </c>
    </row>
    <row r="16" spans="1:5" hidden="1">
      <c r="A16" s="6">
        <v>44563</v>
      </c>
      <c r="B16" s="141">
        <v>15.058733999999999</v>
      </c>
      <c r="C16" s="141">
        <v>17.313998000000002</v>
      </c>
      <c r="D16" s="141">
        <v>6.0084824000000001</v>
      </c>
      <c r="E16" s="141">
        <v>5.3927632000000001</v>
      </c>
    </row>
    <row r="17" spans="1:5" hidden="1">
      <c r="A17" s="6">
        <v>44594</v>
      </c>
      <c r="B17" s="141">
        <v>15.145311</v>
      </c>
      <c r="C17" s="141">
        <v>17.390391000000001</v>
      </c>
      <c r="D17" s="141">
        <v>6.0849495999999998</v>
      </c>
      <c r="E17" s="141">
        <v>5.4553333999999998</v>
      </c>
    </row>
    <row r="18" spans="1:5" hidden="1">
      <c r="A18" s="6">
        <v>44623</v>
      </c>
      <c r="B18" s="141">
        <v>15.240691999999999</v>
      </c>
      <c r="C18" s="141">
        <v>17.482317999999999</v>
      </c>
      <c r="D18" s="141">
        <v>6.1678464000000002</v>
      </c>
      <c r="E18" s="141">
        <v>5.5247951999999998</v>
      </c>
    </row>
    <row r="19" spans="1:5" hidden="1">
      <c r="A19" s="6">
        <v>44653</v>
      </c>
      <c r="B19" s="141">
        <v>15.331372</v>
      </c>
      <c r="C19" s="141">
        <v>17.571726000000002</v>
      </c>
      <c r="D19" s="141">
        <v>6.2441708</v>
      </c>
      <c r="E19" s="141">
        <v>5.5904623999999998</v>
      </c>
    </row>
    <row r="20" spans="1:5" hidden="1">
      <c r="A20" s="6">
        <v>44684</v>
      </c>
      <c r="B20" s="141">
        <v>15.417123</v>
      </c>
      <c r="C20" s="141">
        <v>17.661991</v>
      </c>
      <c r="D20" s="141">
        <v>6.3224428000000001</v>
      </c>
      <c r="E20" s="141">
        <v>5.6567711999999997</v>
      </c>
    </row>
    <row r="21" spans="1:5" hidden="1">
      <c r="A21" s="6">
        <v>44716</v>
      </c>
      <c r="B21" s="141">
        <v>15.509676000000001</v>
      </c>
      <c r="C21" s="141">
        <v>17.742864000000001</v>
      </c>
      <c r="D21" s="141">
        <v>6.3979303999999999</v>
      </c>
      <c r="E21" s="141">
        <v>5.7230743999999998</v>
      </c>
    </row>
    <row r="22" spans="1:5" hidden="1">
      <c r="A22" s="6">
        <v>44748</v>
      </c>
      <c r="B22" s="141">
        <v>15.604702</v>
      </c>
      <c r="C22" s="141">
        <v>17.82095</v>
      </c>
      <c r="D22" s="141">
        <v>6.4714624000000001</v>
      </c>
      <c r="E22" s="141">
        <v>5.7886275999999999</v>
      </c>
    </row>
    <row r="23" spans="1:5" hidden="1">
      <c r="A23" s="6">
        <v>44780</v>
      </c>
      <c r="B23" s="141">
        <v>15.694623999999999</v>
      </c>
      <c r="C23" s="141">
        <v>17.902714</v>
      </c>
      <c r="D23" s="141">
        <v>6.5440936000000001</v>
      </c>
      <c r="E23" s="141">
        <v>5.8550015999999996</v>
      </c>
    </row>
    <row r="24" spans="1:5" hidden="1">
      <c r="A24" s="6">
        <v>44812</v>
      </c>
      <c r="B24" s="141">
        <v>15.780640999999999</v>
      </c>
      <c r="C24" s="141">
        <v>17.979600000000001</v>
      </c>
      <c r="D24" s="141">
        <v>6.6150156000000004</v>
      </c>
      <c r="E24" s="141">
        <v>5.91974</v>
      </c>
    </row>
    <row r="25" spans="1:5" hidden="1">
      <c r="A25" s="6">
        <v>44843</v>
      </c>
      <c r="B25" s="141">
        <v>15.874204000000001</v>
      </c>
      <c r="C25" s="141">
        <v>18.067927999999998</v>
      </c>
      <c r="D25" s="141">
        <v>6.6850616</v>
      </c>
      <c r="E25" s="141">
        <v>5.9940351999999999</v>
      </c>
    </row>
    <row r="26" spans="1:5" hidden="1">
      <c r="A26" s="6">
        <v>44867</v>
      </c>
      <c r="B26" s="141">
        <v>15.962706000000001</v>
      </c>
      <c r="C26" s="141">
        <v>18.155242000000001</v>
      </c>
      <c r="D26" s="141">
        <v>6.7508999999999997</v>
      </c>
      <c r="E26" s="141">
        <v>6.0632088</v>
      </c>
    </row>
    <row r="27" spans="1:5" hidden="1">
      <c r="A27" s="6">
        <v>44897</v>
      </c>
      <c r="B27" s="141">
        <v>16.051983</v>
      </c>
      <c r="C27" s="141">
        <v>18.233414</v>
      </c>
      <c r="D27" s="141">
        <v>6.8131088000000002</v>
      </c>
      <c r="E27" s="141">
        <v>6.1377284000000003</v>
      </c>
    </row>
    <row r="28" spans="1:5" hidden="1">
      <c r="A28" s="6">
        <v>44928</v>
      </c>
      <c r="B28" s="141">
        <v>16.141203000000001</v>
      </c>
      <c r="C28" s="141">
        <v>18.315584000000001</v>
      </c>
      <c r="D28" s="141">
        <v>6.8762543999999997</v>
      </c>
      <c r="E28" s="141">
        <v>6.2144652000000002</v>
      </c>
    </row>
    <row r="29" spans="1:5" hidden="1">
      <c r="A29" s="6">
        <v>44959</v>
      </c>
      <c r="B29" s="141">
        <v>16.223763999999999</v>
      </c>
      <c r="C29" s="141">
        <v>18.398893999999999</v>
      </c>
      <c r="D29" s="141">
        <v>6.9388871999999999</v>
      </c>
      <c r="E29" s="141">
        <v>6.2848604000000003</v>
      </c>
    </row>
    <row r="30" spans="1:5" hidden="1">
      <c r="A30" s="6">
        <v>44988</v>
      </c>
      <c r="B30" s="141">
        <v>16.311641999999999</v>
      </c>
      <c r="C30" s="141">
        <v>18.488848000000001</v>
      </c>
      <c r="D30" s="141">
        <v>7.0061207999999997</v>
      </c>
      <c r="E30" s="141">
        <v>6.3611095999999998</v>
      </c>
    </row>
    <row r="31" spans="1:5" hidden="1">
      <c r="A31" s="6">
        <v>45020</v>
      </c>
      <c r="B31" s="141">
        <v>16.393136999999999</v>
      </c>
      <c r="C31" s="141">
        <v>18.569517999999999</v>
      </c>
      <c r="D31" s="141">
        <v>7.0815096000000004</v>
      </c>
      <c r="E31" s="141">
        <v>6.4388443999999998</v>
      </c>
    </row>
    <row r="32" spans="1:5" hidden="1">
      <c r="A32" s="6">
        <v>45051</v>
      </c>
      <c r="B32" s="141">
        <v>16.473549999999999</v>
      </c>
      <c r="C32" s="141">
        <v>18.656416</v>
      </c>
      <c r="D32" s="141">
        <v>7.1689024000000003</v>
      </c>
      <c r="E32" s="141">
        <v>6.5092540000000003</v>
      </c>
    </row>
    <row r="33" spans="1:5" hidden="1">
      <c r="A33" s="6">
        <v>45083</v>
      </c>
      <c r="B33" s="141">
        <v>16.540234000000002</v>
      </c>
      <c r="C33" s="141">
        <v>18.74363</v>
      </c>
      <c r="D33" s="141">
        <v>7.2525776000000004</v>
      </c>
      <c r="E33" s="141">
        <v>6.5755540000000003</v>
      </c>
    </row>
    <row r="34" spans="1:5" hidden="1">
      <c r="A34" s="6">
        <v>45114</v>
      </c>
      <c r="B34" s="141">
        <v>16.615551</v>
      </c>
      <c r="C34" s="141">
        <v>18.832917999999999</v>
      </c>
      <c r="D34" s="141">
        <v>7.3292792000000002</v>
      </c>
      <c r="E34" s="141">
        <v>6.6467216000000002</v>
      </c>
    </row>
    <row r="35" spans="1:5" hidden="1">
      <c r="A35" s="6">
        <v>45146</v>
      </c>
      <c r="B35" s="141">
        <v>16.693187999999999</v>
      </c>
      <c r="C35" s="141">
        <v>18.918028</v>
      </c>
      <c r="D35" s="141">
        <v>7.4063976</v>
      </c>
      <c r="E35" s="141">
        <v>6.7173816000000004</v>
      </c>
    </row>
    <row r="36" spans="1:5" hidden="1">
      <c r="A36" s="6">
        <v>45171</v>
      </c>
      <c r="B36" s="141">
        <v>16.770593999999999</v>
      </c>
      <c r="C36" s="141">
        <v>18.992618</v>
      </c>
      <c r="D36" s="141">
        <v>7.4764055999999997</v>
      </c>
      <c r="E36" s="141">
        <v>6.7840992</v>
      </c>
    </row>
    <row r="37" spans="1:5" hidden="1">
      <c r="A37" s="6">
        <v>45201</v>
      </c>
      <c r="B37" s="141">
        <v>16.845724000000001</v>
      </c>
      <c r="C37" s="141">
        <v>19.073090000000001</v>
      </c>
      <c r="D37" s="141">
        <v>7.5501367000000004</v>
      </c>
      <c r="E37" s="141">
        <v>6.8533103999999998</v>
      </c>
    </row>
    <row r="38" spans="1:5" hidden="1">
      <c r="A38" s="6">
        <v>45233</v>
      </c>
      <c r="B38" s="141">
        <v>16.915769999999998</v>
      </c>
      <c r="C38" s="141">
        <v>19.152830000000002</v>
      </c>
      <c r="D38" s="141">
        <v>7.6224183999999999</v>
      </c>
      <c r="E38" s="141">
        <v>6.9276511999999997</v>
      </c>
    </row>
    <row r="39" spans="1:5" hidden="1">
      <c r="A39" s="6">
        <v>45264</v>
      </c>
      <c r="B39" s="141">
        <v>16.990155999999999</v>
      </c>
      <c r="C39" s="141">
        <v>19.233049999999999</v>
      </c>
      <c r="D39" s="141">
        <v>7.6994351999999999</v>
      </c>
      <c r="E39" s="141">
        <v>7.0097120000000004</v>
      </c>
    </row>
    <row r="40" spans="1:5" hidden="1">
      <c r="A40" s="6">
        <v>45293</v>
      </c>
      <c r="B40" s="141">
        <v>17.064464000000001</v>
      </c>
      <c r="C40" s="141">
        <v>19.31428</v>
      </c>
      <c r="D40" s="141">
        <v>7.7779448000000002</v>
      </c>
      <c r="E40" s="141">
        <v>7.0872864</v>
      </c>
    </row>
    <row r="41" spans="1:5" hidden="1">
      <c r="A41" s="6">
        <v>45325</v>
      </c>
      <c r="B41" s="141">
        <v>17.14114</v>
      </c>
      <c r="C41" s="141">
        <v>19.394383999999999</v>
      </c>
      <c r="D41" s="141">
        <v>7.8569008</v>
      </c>
      <c r="E41" s="141">
        <v>7.1589352000000002</v>
      </c>
    </row>
    <row r="42" spans="1:5" hidden="1">
      <c r="A42" s="6">
        <v>45355</v>
      </c>
      <c r="B42" s="141">
        <v>17.223564</v>
      </c>
      <c r="C42" s="141">
        <v>19.481947999999999</v>
      </c>
      <c r="D42" s="141">
        <v>7.9558904000000004</v>
      </c>
      <c r="E42" s="141">
        <v>7.2339943199999999</v>
      </c>
    </row>
    <row r="43" spans="1:5" hidden="1">
      <c r="A43" s="6">
        <v>45384</v>
      </c>
      <c r="B43" s="141">
        <v>17.309605999999999</v>
      </c>
      <c r="C43" s="141">
        <v>19.569438000000002</v>
      </c>
      <c r="D43" s="141">
        <v>8.0371944000000006</v>
      </c>
      <c r="E43" s="141">
        <v>7.3156103999999997</v>
      </c>
    </row>
    <row r="44" spans="1:5" hidden="1">
      <c r="A44" s="6">
        <v>45414</v>
      </c>
      <c r="B44" s="141">
        <v>17.391020000000001</v>
      </c>
      <c r="C44" s="141">
        <v>19.662237999999999</v>
      </c>
      <c r="D44" s="141">
        <v>8.1221200000000007</v>
      </c>
      <c r="E44" s="141">
        <v>7.3980439999999996</v>
      </c>
    </row>
    <row r="45" spans="1:5" hidden="1">
      <c r="A45" s="6">
        <v>45445</v>
      </c>
      <c r="B45" s="141">
        <v>17.465751999999998</v>
      </c>
      <c r="C45" s="141">
        <v>19.753568000000001</v>
      </c>
      <c r="D45" s="141">
        <v>8.2040416</v>
      </c>
      <c r="E45" s="141">
        <v>7.4785440000000003</v>
      </c>
    </row>
    <row r="46" spans="1:5" hidden="1">
      <c r="A46" s="6">
        <v>45478</v>
      </c>
      <c r="B46" s="141">
        <v>17.545580000000001</v>
      </c>
      <c r="C46" s="141">
        <v>19.8431</v>
      </c>
      <c r="D46" s="141">
        <v>8.2839679999999998</v>
      </c>
      <c r="E46" s="141">
        <v>7.5556539999999996</v>
      </c>
    </row>
    <row r="47" spans="1:5" hidden="1">
      <c r="A47" s="6">
        <v>45509</v>
      </c>
      <c r="B47" s="141">
        <v>17.639292000000001</v>
      </c>
      <c r="C47" s="141">
        <v>19.937415999999999</v>
      </c>
      <c r="D47" s="141">
        <v>8.3889408000000003</v>
      </c>
      <c r="E47" s="141">
        <v>7.6348016000000003</v>
      </c>
    </row>
    <row r="48" spans="1:5" hidden="1">
      <c r="A48" s="6">
        <v>45540</v>
      </c>
      <c r="B48" s="141">
        <v>17.735503999999999</v>
      </c>
      <c r="C48" s="141">
        <v>20.016279999999998</v>
      </c>
      <c r="D48" s="141">
        <v>8.4834455999999996</v>
      </c>
      <c r="E48" s="141">
        <v>7.7155120000000004</v>
      </c>
    </row>
    <row r="49" spans="1:5" hidden="1">
      <c r="A49" s="6">
        <v>45570</v>
      </c>
      <c r="B49" s="141">
        <v>17.822721999999999</v>
      </c>
      <c r="C49" s="141">
        <v>20.085685999999999</v>
      </c>
      <c r="D49" s="141">
        <v>8.5613744000000001</v>
      </c>
      <c r="E49" s="141">
        <v>7.7858368000000002</v>
      </c>
    </row>
    <row r="50" spans="1:5" hidden="1">
      <c r="A50" s="6">
        <v>45601</v>
      </c>
      <c r="B50" s="141">
        <v>17.915492</v>
      </c>
      <c r="C50" s="141">
        <v>20.160322000000001</v>
      </c>
      <c r="D50" s="141">
        <v>8.6481112000000007</v>
      </c>
      <c r="E50" s="141">
        <v>7.8560632000000004</v>
      </c>
    </row>
    <row r="51" spans="1:5" hidden="1">
      <c r="A51" s="6">
        <v>45631</v>
      </c>
      <c r="B51" s="141">
        <v>18.006768000000001</v>
      </c>
      <c r="C51" s="141">
        <v>20.249326</v>
      </c>
      <c r="D51" s="141">
        <v>8.7284304000000006</v>
      </c>
      <c r="E51" s="141">
        <v>7.9201671999999999</v>
      </c>
    </row>
    <row r="52" spans="1:5" hidden="1">
      <c r="A52" s="6">
        <v>45662</v>
      </c>
      <c r="B52" s="141">
        <v>18.093897999999999</v>
      </c>
      <c r="C52" s="141">
        <v>20.341813999999999</v>
      </c>
      <c r="D52" s="141">
        <v>8.8075624000000001</v>
      </c>
      <c r="E52" s="141">
        <v>7.9778760000000002</v>
      </c>
    </row>
    <row r="53" spans="1:5" hidden="1">
      <c r="A53" s="6">
        <v>45693</v>
      </c>
      <c r="B53" s="141">
        <v>18.174094</v>
      </c>
      <c r="C53" s="141">
        <v>20.426535999999999</v>
      </c>
      <c r="D53" s="141">
        <v>8.8875183999999994</v>
      </c>
      <c r="E53" s="141">
        <v>8.0320871999999994</v>
      </c>
    </row>
    <row r="54" spans="1:5" hidden="1">
      <c r="A54" s="6">
        <v>45721</v>
      </c>
      <c r="B54" s="141">
        <v>18.265882000000001</v>
      </c>
      <c r="C54" s="141">
        <v>20.520821999999999</v>
      </c>
      <c r="D54" s="141">
        <v>8.9751344</v>
      </c>
      <c r="E54" s="141">
        <v>8.1085928000000003</v>
      </c>
    </row>
    <row r="55" spans="1:5" hidden="1">
      <c r="A55" s="6">
        <v>45752</v>
      </c>
      <c r="B55" s="141">
        <v>18.346769999999999</v>
      </c>
      <c r="C55" s="141">
        <v>20.606297999999999</v>
      </c>
      <c r="D55" s="141">
        <v>9.0548895999999992</v>
      </c>
      <c r="E55" s="141">
        <v>8.1780048000000001</v>
      </c>
    </row>
    <row r="56" spans="1:5" hidden="1">
      <c r="A56" s="6">
        <v>45782</v>
      </c>
      <c r="B56" s="141">
        <v>18.435870000000001</v>
      </c>
      <c r="C56" s="141">
        <v>20.704325999999998</v>
      </c>
      <c r="D56" s="141">
        <v>9.148028</v>
      </c>
      <c r="E56" s="141">
        <v>8.2581056000000004</v>
      </c>
    </row>
    <row r="57" spans="1:5" hidden="1">
      <c r="A57" s="6">
        <v>45813</v>
      </c>
      <c r="B57" s="141">
        <v>18.524068</v>
      </c>
      <c r="C57" s="141">
        <v>20.788858000000001</v>
      </c>
      <c r="D57" s="141">
        <v>9.2295704000000001</v>
      </c>
      <c r="E57" s="141">
        <v>8.3223848</v>
      </c>
    </row>
    <row r="58" spans="1:5" hidden="1">
      <c r="A58" s="6">
        <v>45843</v>
      </c>
      <c r="B58" s="141">
        <v>18.60924</v>
      </c>
      <c r="C58" s="141">
        <v>20.871047999999998</v>
      </c>
      <c r="D58" s="141">
        <v>9.3087528000000006</v>
      </c>
      <c r="E58" s="141">
        <v>8.3862223999999994</v>
      </c>
    </row>
    <row r="59" spans="1:5" hidden="1">
      <c r="A59" s="6">
        <v>45874</v>
      </c>
      <c r="B59" s="141">
        <v>18.704733999999998</v>
      </c>
      <c r="C59" s="141">
        <v>20.963756</v>
      </c>
      <c r="D59" s="141">
        <v>9.4067647999999995</v>
      </c>
      <c r="E59" s="141">
        <v>8.4567984000000003</v>
      </c>
    </row>
    <row r="60" spans="1:5" hidden="1">
      <c r="A60" s="6">
        <v>45905</v>
      </c>
      <c r="B60" s="141">
        <v>18.789905999999998</v>
      </c>
      <c r="C60" s="141">
        <v>21.045946000000001</v>
      </c>
      <c r="D60" s="141">
        <v>9.4859472</v>
      </c>
      <c r="E60" s="141">
        <v>8.5206359999999997</v>
      </c>
    </row>
    <row r="61" spans="1:5" hidden="1">
      <c r="A61" s="6">
        <v>45936</v>
      </c>
      <c r="B61" s="141">
        <v>18.879363999999999</v>
      </c>
      <c r="C61" s="141">
        <v>21.127130000000001</v>
      </c>
      <c r="D61" s="141">
        <v>9.5621791999999992</v>
      </c>
      <c r="E61" s="141">
        <v>8.5910384000000004</v>
      </c>
    </row>
    <row r="62" spans="1:5" hidden="1">
      <c r="A62" s="6">
        <v>45968</v>
      </c>
      <c r="B62" s="141">
        <v>18.959717999999999</v>
      </c>
      <c r="C62" s="141">
        <v>21.211948</v>
      </c>
      <c r="D62" s="141">
        <v>9.6355024</v>
      </c>
      <c r="E62" s="141">
        <v>8.6586832000000005</v>
      </c>
    </row>
    <row r="63" spans="1:5" hidden="1">
      <c r="A63" s="6">
        <v>45992</v>
      </c>
      <c r="B63" s="141">
        <v>19.042149999999999</v>
      </c>
      <c r="C63" s="141">
        <v>21.298919999999999</v>
      </c>
      <c r="D63" s="141">
        <v>9.7137583999999997</v>
      </c>
      <c r="E63" s="141">
        <v>8.726604</v>
      </c>
    </row>
    <row r="64" spans="1:5">
      <c r="A64" s="6">
        <v>46023</v>
      </c>
      <c r="B64" s="141">
        <v>19.127032</v>
      </c>
      <c r="C64" s="141">
        <v>21.387495999999999</v>
      </c>
      <c r="D64" s="141">
        <v>9.7909512000000003</v>
      </c>
      <c r="E64" s="141">
        <v>8.7891663999999992</v>
      </c>
    </row>
    <row r="65" spans="1:5">
      <c r="A65" s="6">
        <v>46054</v>
      </c>
      <c r="B65" s="141">
        <v>19.211548000000001</v>
      </c>
      <c r="C65" s="141">
        <v>21.463000000000001</v>
      </c>
      <c r="D65" s="141">
        <v>9.8586688000000002</v>
      </c>
      <c r="E65" s="141">
        <v>8.8603103999999995</v>
      </c>
    </row>
    <row r="66" spans="1:5">
      <c r="A66" s="6">
        <v>46082</v>
      </c>
      <c r="B66" s="141">
        <v>19.297954000000001</v>
      </c>
      <c r="C66" s="141">
        <v>21.553671999999999</v>
      </c>
      <c r="D66" s="141">
        <v>9.9407616000000001</v>
      </c>
      <c r="E66" s="141">
        <v>8.9388319999999997</v>
      </c>
    </row>
    <row r="67" spans="1:5">
      <c r="A67" s="6">
        <v>46113</v>
      </c>
      <c r="B67" s="141">
        <v>19.388562</v>
      </c>
      <c r="C67" s="141">
        <v>21.640239999999999</v>
      </c>
      <c r="D67" s="141">
        <v>10.030904</v>
      </c>
      <c r="E67" s="141">
        <v>9.0094911999999994</v>
      </c>
    </row>
    <row r="68" spans="1:5">
      <c r="A68" s="6">
        <v>46143</v>
      </c>
      <c r="B68" s="141">
        <v>19.48723</v>
      </c>
      <c r="C68" s="141">
        <v>21.72832</v>
      </c>
      <c r="D68" s="141">
        <v>10.116334</v>
      </c>
      <c r="E68" s="141">
        <v>9.0882088000000003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AFB69-CAB8-4E7E-BA25-DAABAF2B2B19}">
  <sheetPr codeName="Sheet4"/>
  <dimension ref="A1:D22"/>
  <sheetViews>
    <sheetView workbookViewId="0">
      <selection activeCell="A2" sqref="A2:D22"/>
    </sheetView>
  </sheetViews>
  <sheetFormatPr defaultRowHeight="13.2"/>
  <cols>
    <col min="1" max="1" width="10.77734375" style="52" customWidth="1"/>
    <col min="2" max="2" width="20.77734375" style="3" customWidth="1"/>
    <col min="3" max="4" width="20.77734375" style="49" customWidth="1"/>
  </cols>
  <sheetData>
    <row r="1" spans="1:4" ht="20.399999999999999" customHeight="1">
      <c r="A1" s="55" t="s">
        <v>567</v>
      </c>
      <c r="B1"/>
    </row>
    <row r="2" spans="1:4">
      <c r="A2" s="41" t="s">
        <v>78</v>
      </c>
      <c r="B2" s="42" t="s">
        <v>115</v>
      </c>
      <c r="C2" s="61" t="s">
        <v>113</v>
      </c>
      <c r="D2" s="61" t="s">
        <v>114</v>
      </c>
    </row>
    <row r="3" spans="1:4">
      <c r="A3" s="51">
        <v>46023</v>
      </c>
      <c r="B3" s="43" t="s">
        <v>91</v>
      </c>
      <c r="C3" s="49">
        <v>53.7</v>
      </c>
      <c r="D3" s="49">
        <v>67.599999999999994</v>
      </c>
    </row>
    <row r="4" spans="1:4">
      <c r="A4" s="51">
        <v>46023</v>
      </c>
      <c r="B4" s="43" t="s">
        <v>92</v>
      </c>
      <c r="C4" s="49">
        <v>53.6</v>
      </c>
      <c r="D4" s="49">
        <v>69</v>
      </c>
    </row>
    <row r="5" spans="1:4">
      <c r="A5" s="51">
        <v>46023</v>
      </c>
      <c r="B5" s="43" t="s">
        <v>93</v>
      </c>
      <c r="C5" s="49">
        <v>53.45</v>
      </c>
      <c r="D5" s="49">
        <v>4.8</v>
      </c>
    </row>
    <row r="6" spans="1:4">
      <c r="A6" s="51">
        <v>46023</v>
      </c>
      <c r="B6" s="43" t="s">
        <v>94</v>
      </c>
      <c r="C6" s="49">
        <v>54.33</v>
      </c>
      <c r="D6" s="49">
        <v>4.8</v>
      </c>
    </row>
    <row r="7" spans="1:4">
      <c r="A7" s="51">
        <v>46054</v>
      </c>
      <c r="B7" s="43" t="s">
        <v>91</v>
      </c>
      <c r="C7" s="49">
        <v>53.7</v>
      </c>
      <c r="D7" s="49">
        <v>65.5</v>
      </c>
    </row>
    <row r="8" spans="1:4">
      <c r="A8" s="51">
        <v>46054</v>
      </c>
      <c r="B8" s="43" t="s">
        <v>92</v>
      </c>
      <c r="C8" s="49">
        <v>53.6</v>
      </c>
      <c r="D8" s="49">
        <v>69.400000000000006</v>
      </c>
    </row>
    <row r="9" spans="1:4">
      <c r="A9" s="51">
        <v>46054</v>
      </c>
      <c r="B9" s="43" t="s">
        <v>93</v>
      </c>
      <c r="C9" s="49">
        <v>53.51</v>
      </c>
      <c r="D9" s="49">
        <v>4.9000000000000004</v>
      </c>
    </row>
    <row r="10" spans="1:4">
      <c r="A10" s="51">
        <v>46054</v>
      </c>
      <c r="B10" s="43" t="s">
        <v>94</v>
      </c>
      <c r="C10" s="49">
        <v>54.33</v>
      </c>
      <c r="D10" s="49">
        <v>4.8</v>
      </c>
    </row>
    <row r="11" spans="1:4">
      <c r="A11" s="51">
        <v>46082</v>
      </c>
      <c r="B11" s="43" t="s">
        <v>91</v>
      </c>
      <c r="C11" s="49">
        <v>53.7</v>
      </c>
      <c r="D11" s="49">
        <v>65.8</v>
      </c>
    </row>
    <row r="12" spans="1:4">
      <c r="A12" s="51">
        <v>46082</v>
      </c>
      <c r="B12" s="43" t="s">
        <v>92</v>
      </c>
      <c r="C12" s="49">
        <v>53.6</v>
      </c>
      <c r="D12" s="49">
        <v>67.900000000000006</v>
      </c>
    </row>
    <row r="13" spans="1:4">
      <c r="A13" s="51">
        <v>46082</v>
      </c>
      <c r="B13" s="43" t="s">
        <v>93</v>
      </c>
      <c r="C13" s="49">
        <v>53.51</v>
      </c>
      <c r="D13" s="49">
        <v>4.7</v>
      </c>
    </row>
    <row r="14" spans="1:4">
      <c r="A14" s="51">
        <v>46082</v>
      </c>
      <c r="B14" s="43" t="s">
        <v>94</v>
      </c>
      <c r="C14" s="49">
        <v>54.33</v>
      </c>
      <c r="D14" s="49">
        <v>4.9000000000000004</v>
      </c>
    </row>
    <row r="15" spans="1:4">
      <c r="A15" s="51">
        <v>46113</v>
      </c>
      <c r="B15" s="43" t="s">
        <v>91</v>
      </c>
      <c r="C15" s="49">
        <v>53.7</v>
      </c>
      <c r="D15" s="49">
        <v>65.8</v>
      </c>
    </row>
    <row r="16" spans="1:4">
      <c r="A16" s="51">
        <v>46113</v>
      </c>
      <c r="B16" s="43" t="s">
        <v>92</v>
      </c>
      <c r="C16" s="49">
        <v>53.6</v>
      </c>
      <c r="D16" s="49">
        <v>67.900000000000006</v>
      </c>
    </row>
    <row r="17" spans="1:4">
      <c r="A17" s="51">
        <v>46113</v>
      </c>
      <c r="B17" s="43" t="s">
        <v>93</v>
      </c>
      <c r="C17" s="49">
        <v>53.51</v>
      </c>
      <c r="D17" s="49">
        <v>4.7</v>
      </c>
    </row>
    <row r="18" spans="1:4">
      <c r="A18" s="51">
        <v>46113</v>
      </c>
      <c r="B18" s="43" t="s">
        <v>94</v>
      </c>
      <c r="C18" s="49">
        <v>54.33</v>
      </c>
      <c r="D18" s="49">
        <v>4.9000000000000004</v>
      </c>
    </row>
    <row r="19" spans="1:4">
      <c r="A19" s="51">
        <v>46143</v>
      </c>
      <c r="B19" s="43" t="s">
        <v>91</v>
      </c>
      <c r="C19" s="49">
        <v>54</v>
      </c>
      <c r="D19" s="49">
        <v>65.3</v>
      </c>
    </row>
    <row r="20" spans="1:4">
      <c r="A20" s="51">
        <v>46143</v>
      </c>
      <c r="B20" s="43" t="s">
        <v>92</v>
      </c>
      <c r="C20" s="49">
        <v>53.6</v>
      </c>
      <c r="D20" s="49">
        <v>68.400000000000006</v>
      </c>
    </row>
    <row r="21" spans="1:4">
      <c r="A21" s="51">
        <v>46143</v>
      </c>
      <c r="B21" s="43" t="s">
        <v>93</v>
      </c>
      <c r="C21" s="49">
        <v>53.94</v>
      </c>
      <c r="D21" s="49">
        <v>5.0999999999999996</v>
      </c>
    </row>
    <row r="22" spans="1:4">
      <c r="A22" s="51">
        <v>46143</v>
      </c>
      <c r="B22" s="43" t="s">
        <v>94</v>
      </c>
      <c r="C22" s="49">
        <v>53.87</v>
      </c>
      <c r="D22" s="49">
        <v>4.5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290BD-66D7-4691-BC9E-9F00B43D115A}">
  <sheetPr codeName="Sheet5"/>
  <dimension ref="A1:C13"/>
  <sheetViews>
    <sheetView workbookViewId="0">
      <selection activeCell="F17" sqref="F17"/>
    </sheetView>
  </sheetViews>
  <sheetFormatPr defaultRowHeight="13.2"/>
  <sheetData>
    <row r="1" spans="1:3">
      <c r="A1" s="28" t="s">
        <v>87</v>
      </c>
      <c r="B1">
        <v>26</v>
      </c>
      <c r="C1" t="str">
        <f>A1&amp;"-"&amp;B1</f>
        <v>Jan-26</v>
      </c>
    </row>
    <row r="2" spans="1:3">
      <c r="A2" s="28" t="s">
        <v>88</v>
      </c>
      <c r="B2">
        <v>26</v>
      </c>
      <c r="C2" t="str">
        <f t="shared" ref="C2:C12" si="0">A2&amp;"-"&amp;B2</f>
        <v>Feb-26</v>
      </c>
    </row>
    <row r="3" spans="1:3">
      <c r="A3" s="28" t="s">
        <v>89</v>
      </c>
      <c r="B3">
        <v>26</v>
      </c>
      <c r="C3" t="str">
        <f t="shared" si="0"/>
        <v>Mar-26</v>
      </c>
    </row>
    <row r="4" spans="1:3">
      <c r="A4" s="28" t="s">
        <v>90</v>
      </c>
      <c r="B4">
        <v>26</v>
      </c>
      <c r="C4" t="str">
        <f t="shared" si="0"/>
        <v>Apr-26</v>
      </c>
    </row>
    <row r="5" spans="1:3">
      <c r="A5" t="s">
        <v>79</v>
      </c>
      <c r="B5">
        <v>26</v>
      </c>
      <c r="C5" t="str">
        <f t="shared" si="0"/>
        <v>May-26</v>
      </c>
    </row>
    <row r="6" spans="1:3">
      <c r="A6" s="28" t="s">
        <v>80</v>
      </c>
      <c r="B6">
        <v>26</v>
      </c>
      <c r="C6" t="str">
        <f t="shared" si="0"/>
        <v>Jun-26</v>
      </c>
    </row>
    <row r="7" spans="1:3">
      <c r="A7" s="28" t="s">
        <v>81</v>
      </c>
      <c r="B7">
        <v>26</v>
      </c>
      <c r="C7" t="str">
        <f t="shared" si="0"/>
        <v>Jul-26</v>
      </c>
    </row>
    <row r="8" spans="1:3">
      <c r="A8" s="28" t="s">
        <v>82</v>
      </c>
      <c r="B8">
        <v>26</v>
      </c>
      <c r="C8" t="str">
        <f t="shared" si="0"/>
        <v>Aug-26</v>
      </c>
    </row>
    <row r="9" spans="1:3">
      <c r="A9" s="28" t="s">
        <v>83</v>
      </c>
      <c r="B9">
        <v>26</v>
      </c>
      <c r="C9" t="str">
        <f t="shared" si="0"/>
        <v>Sep-26</v>
      </c>
    </row>
    <row r="10" spans="1:3">
      <c r="A10" s="28" t="s">
        <v>84</v>
      </c>
      <c r="B10">
        <v>26</v>
      </c>
      <c r="C10" t="str">
        <f t="shared" si="0"/>
        <v>Oct-26</v>
      </c>
    </row>
    <row r="11" spans="1:3">
      <c r="A11" s="28" t="s">
        <v>85</v>
      </c>
      <c r="B11">
        <v>26</v>
      </c>
      <c r="C11" t="str">
        <f t="shared" si="0"/>
        <v>Nov-26</v>
      </c>
    </row>
    <row r="12" spans="1:3">
      <c r="A12" s="28" t="s">
        <v>86</v>
      </c>
      <c r="B12">
        <v>26</v>
      </c>
      <c r="C12" t="str">
        <f t="shared" si="0"/>
        <v>Dec-26</v>
      </c>
    </row>
    <row r="13" spans="1:3">
      <c r="A13" s="28"/>
    </row>
  </sheetData>
  <phoneticPr fontId="1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02"/>
  <sheetViews>
    <sheetView tabSelected="1" workbookViewId="0">
      <selection activeCell="H75" sqref="H75"/>
    </sheetView>
  </sheetViews>
  <sheetFormatPr defaultRowHeight="13.2"/>
  <cols>
    <col min="1" max="1" width="10.77734375" customWidth="1"/>
    <col min="2" max="2" width="40.88671875" bestFit="1" customWidth="1"/>
    <col min="3" max="3" width="34.77734375" bestFit="1" customWidth="1"/>
    <col min="4" max="4" width="35.5546875" bestFit="1" customWidth="1"/>
    <col min="5" max="5" width="40.21875" style="3" bestFit="1" customWidth="1"/>
  </cols>
  <sheetData>
    <row r="1" spans="1:5" ht="20.399999999999999" customHeight="1">
      <c r="A1" s="21" t="s">
        <v>564</v>
      </c>
    </row>
    <row r="2" spans="1:5" s="3" customFormat="1">
      <c r="A2" s="41" t="s">
        <v>78</v>
      </c>
      <c r="B2" s="3" t="s">
        <v>109</v>
      </c>
      <c r="C2" s="3" t="s">
        <v>120</v>
      </c>
      <c r="D2" s="3" t="s">
        <v>71</v>
      </c>
      <c r="E2" s="3" t="s">
        <v>40</v>
      </c>
    </row>
    <row r="3" spans="1:5" hidden="1">
      <c r="A3" s="6">
        <v>44166</v>
      </c>
      <c r="B3" s="7">
        <v>2832214.86</v>
      </c>
      <c r="C3" s="7">
        <v>10353734.73</v>
      </c>
      <c r="D3" s="7">
        <v>2832214.86</v>
      </c>
      <c r="E3" s="62">
        <f>Overall_Energy[[#This Row],[Building Electricity Cost (THB)]]/Overall_Energy[[#This Row],[Building Energy Consumption (kWh)]]</f>
        <v>3.6557024243563219</v>
      </c>
    </row>
    <row r="4" spans="1:5" hidden="1">
      <c r="A4" s="6">
        <v>44197</v>
      </c>
      <c r="B4" s="7">
        <v>2706028.63</v>
      </c>
      <c r="C4" s="7">
        <v>10156316.890000001</v>
      </c>
      <c r="D4" s="7">
        <v>2706028.63</v>
      </c>
      <c r="E4" s="62">
        <f>Overall_Energy[[#This Row],[Building Electricity Cost (THB)]]/Overall_Energy[[#This Row],[Building Energy Consumption (kWh)]]</f>
        <v>3.7532185644318186</v>
      </c>
    </row>
    <row r="5" spans="1:5" hidden="1">
      <c r="A5" s="6">
        <v>44228</v>
      </c>
      <c r="B5" s="7">
        <v>2891037.5185128502</v>
      </c>
      <c r="C5" s="7">
        <v>9390219.4600000009</v>
      </c>
      <c r="D5" s="7">
        <v>2515397.35</v>
      </c>
      <c r="E5" s="62">
        <f>Overall_Energy[[#This Row],[Building Electricity Cost (THB)]]/Overall_Energy[[#This Row],[Building Energy Consumption (kWh)]]</f>
        <v>3.2480448281523273</v>
      </c>
    </row>
    <row r="6" spans="1:5" hidden="1">
      <c r="A6" s="6">
        <v>44257</v>
      </c>
      <c r="B6" s="7">
        <v>3051200</v>
      </c>
      <c r="C6" s="7">
        <v>10783881.67</v>
      </c>
      <c r="D6" s="7">
        <v>2871327.13</v>
      </c>
      <c r="E6" s="62">
        <f>Overall_Energy[[#This Row],[Building Electricity Cost (THB)]]/Overall_Energy[[#This Row],[Building Energy Consumption (kWh)]]</f>
        <v>3.5343083606449923</v>
      </c>
    </row>
    <row r="7" spans="1:5" hidden="1">
      <c r="A7" s="6">
        <v>44288</v>
      </c>
      <c r="B7" s="7">
        <v>2901400</v>
      </c>
      <c r="C7" s="7">
        <v>9787877.75</v>
      </c>
      <c r="D7" s="7">
        <v>2591845.1621603118</v>
      </c>
      <c r="E7" s="62">
        <f>Overall_Energy[[#This Row],[Building Electricity Cost (THB)]]/Overall_Energy[[#This Row],[Building Energy Consumption (kWh)]]</f>
        <v>3.3735016716068107</v>
      </c>
    </row>
    <row r="8" spans="1:5" hidden="1">
      <c r="A8" s="6">
        <v>44318</v>
      </c>
      <c r="B8" s="7">
        <v>3025200</v>
      </c>
      <c r="C8" s="7">
        <v>10318287.43</v>
      </c>
      <c r="D8" s="7">
        <v>2672037.6770369709</v>
      </c>
      <c r="E8" s="62">
        <f>Overall_Energy[[#This Row],[Building Electricity Cost (THB)]]/Overall_Energy[[#This Row],[Building Energy Consumption (kWh)]]</f>
        <v>3.4107786030675658</v>
      </c>
    </row>
    <row r="9" spans="1:5" hidden="1">
      <c r="A9" s="6">
        <v>44349</v>
      </c>
      <c r="B9" s="7">
        <v>2895200</v>
      </c>
      <c r="C9" s="7">
        <v>10143202.689999999</v>
      </c>
      <c r="D9" s="7">
        <v>2583259.064760291</v>
      </c>
      <c r="E9" s="62">
        <f>Overall_Energy[[#This Row],[Building Electricity Cost (THB)]]/Overall_Energy[[#This Row],[Building Energy Consumption (kWh)]]</f>
        <v>3.5034549219397624</v>
      </c>
    </row>
    <row r="10" spans="1:5" hidden="1">
      <c r="A10" s="6">
        <v>44380</v>
      </c>
      <c r="B10" s="7">
        <v>2922000</v>
      </c>
      <c r="C10" s="7">
        <v>10148094.58</v>
      </c>
      <c r="D10" s="7">
        <v>3404973.1878090249</v>
      </c>
      <c r="E10" s="62">
        <f>Overall_Energy[[#This Row],[Building Electricity Cost (THB)]]/Overall_Energy[[#This Row],[Building Energy Consumption (kWh)]]</f>
        <v>3.4729960917180014</v>
      </c>
    </row>
    <row r="11" spans="1:5" hidden="1">
      <c r="A11" s="6">
        <v>44410</v>
      </c>
      <c r="B11" s="7">
        <v>2850800</v>
      </c>
      <c r="C11" s="7">
        <v>9893824.3399999999</v>
      </c>
      <c r="D11" s="7">
        <v>3391149.1371626849</v>
      </c>
      <c r="E11" s="62">
        <f>Overall_Energy[[#This Row],[Building Electricity Cost (THB)]]/Overall_Energy[[#This Row],[Building Energy Consumption (kWh)]]</f>
        <v>3.4705431247369161</v>
      </c>
    </row>
    <row r="12" spans="1:5" hidden="1">
      <c r="A12" s="6">
        <v>44441</v>
      </c>
      <c r="B12" s="7">
        <v>2730200</v>
      </c>
      <c r="C12" s="7">
        <v>9541005.3000000007</v>
      </c>
      <c r="D12" s="7">
        <v>2669463.583199447</v>
      </c>
      <c r="E12" s="62">
        <f>Overall_Energy[[#This Row],[Building Electricity Cost (THB)]]/Overall_Energy[[#This Row],[Building Energy Consumption (kWh)]]</f>
        <v>3.4946177203135305</v>
      </c>
    </row>
    <row r="13" spans="1:5" hidden="1">
      <c r="A13" s="6">
        <v>44471</v>
      </c>
      <c r="B13" s="7">
        <v>2840200</v>
      </c>
      <c r="C13" s="7">
        <v>9771205.7799999993</v>
      </c>
      <c r="D13" s="7">
        <v>2719833.36</v>
      </c>
      <c r="E13" s="62">
        <f>Overall_Energy[[#This Row],[Building Electricity Cost (THB)]]/Overall_Energy[[#This Row],[Building Energy Consumption (kWh)]]</f>
        <v>3.4403231392155478</v>
      </c>
    </row>
    <row r="14" spans="1:5" hidden="1">
      <c r="A14" s="6">
        <v>44502</v>
      </c>
      <c r="B14" s="7">
        <v>2744200</v>
      </c>
      <c r="C14" s="7">
        <v>9689387.5500000007</v>
      </c>
      <c r="D14" s="7">
        <v>3182646.6292422782</v>
      </c>
      <c r="E14" s="62">
        <f>Overall_Energy[[#This Row],[Building Electricity Cost (THB)]]/Overall_Energy[[#This Row],[Building Energy Consumption (kWh)]]</f>
        <v>3.5308605604547778</v>
      </c>
    </row>
    <row r="15" spans="1:5" hidden="1">
      <c r="A15" s="6">
        <v>44532</v>
      </c>
      <c r="B15" s="7">
        <v>2743600</v>
      </c>
      <c r="C15" s="7">
        <v>9551712.8100000005</v>
      </c>
      <c r="D15" s="7">
        <v>3224013.1626640302</v>
      </c>
      <c r="E15" s="62">
        <f>Overall_Energy[[#This Row],[Building Electricity Cost (THB)]]/Overall_Energy[[#This Row],[Building Energy Consumption (kWh)]]</f>
        <v>3.4814524019536379</v>
      </c>
    </row>
    <row r="16" spans="1:5" hidden="1">
      <c r="A16" s="6">
        <v>44563</v>
      </c>
      <c r="B16" s="7">
        <v>2817000</v>
      </c>
      <c r="C16" s="7">
        <v>10276247</v>
      </c>
      <c r="D16" s="7">
        <v>3349960.4678873871</v>
      </c>
      <c r="E16" s="62">
        <f>Overall_Energy[[#This Row],[Building Electricity Cost (THB)]]/Overall_Energy[[#This Row],[Building Energy Consumption (kWh)]]</f>
        <v>3.6479400070997516</v>
      </c>
    </row>
    <row r="17" spans="1:5" hidden="1">
      <c r="A17" s="6">
        <v>44594</v>
      </c>
      <c r="B17" s="7">
        <v>2549800</v>
      </c>
      <c r="C17" s="7">
        <v>9348172.0899999999</v>
      </c>
      <c r="D17" s="7">
        <v>2657168.8584547038</v>
      </c>
      <c r="E17" s="62">
        <f>Overall_Energy[[#This Row],[Building Electricity Cost (THB)]]/Overall_Energy[[#This Row],[Building Energy Consumption (kWh)]]</f>
        <v>3.6662373872460585</v>
      </c>
    </row>
    <row r="18" spans="1:5" hidden="1">
      <c r="A18" s="6">
        <v>44623</v>
      </c>
      <c r="B18" s="7">
        <v>2866800</v>
      </c>
      <c r="C18" s="7">
        <v>10632173.300000001</v>
      </c>
      <c r="D18" s="7">
        <v>2970760.32</v>
      </c>
      <c r="E18" s="62">
        <f>Overall_Energy[[#This Row],[Building Electricity Cost (THB)]]/Overall_Energy[[#This Row],[Building Energy Consumption (kWh)]]</f>
        <v>3.7087251639458634</v>
      </c>
    </row>
    <row r="19" spans="1:5" hidden="1">
      <c r="A19" s="6">
        <v>44653</v>
      </c>
      <c r="B19" s="7">
        <v>2776600</v>
      </c>
      <c r="C19" s="7">
        <v>9875159.4299999997</v>
      </c>
      <c r="D19" s="7">
        <v>3242989.656117877</v>
      </c>
      <c r="E19" s="62">
        <f>Overall_Energy[[#This Row],[Building Electricity Cost (THB)]]/Overall_Energy[[#This Row],[Building Energy Consumption (kWh)]]</f>
        <v>3.5565653785204927</v>
      </c>
    </row>
    <row r="20" spans="1:5" hidden="1">
      <c r="A20" s="6">
        <v>44684</v>
      </c>
      <c r="B20" s="7">
        <v>2858800</v>
      </c>
      <c r="C20" s="7">
        <v>11145038.59</v>
      </c>
      <c r="D20" s="7">
        <v>3039724.95</v>
      </c>
      <c r="E20" s="62">
        <f>Overall_Energy[[#This Row],[Building Electricity Cost (THB)]]/Overall_Energy[[#This Row],[Building Energy Consumption (kWh)]]</f>
        <v>3.8985023751224288</v>
      </c>
    </row>
    <row r="21" spans="1:5" hidden="1">
      <c r="A21" s="6">
        <v>44716</v>
      </c>
      <c r="B21" s="7">
        <v>2751000</v>
      </c>
      <c r="C21" s="7">
        <v>10809715.92</v>
      </c>
      <c r="D21" s="7">
        <v>3012767.51</v>
      </c>
      <c r="E21" s="62">
        <f>Overall_Energy[[#This Row],[Building Electricity Cost (THB)]]/Overall_Energy[[#This Row],[Building Energy Consumption (kWh)]]</f>
        <v>3.9293769247546346</v>
      </c>
    </row>
    <row r="22" spans="1:5" hidden="1">
      <c r="A22" s="6">
        <v>44748</v>
      </c>
      <c r="B22" s="7">
        <v>2826200</v>
      </c>
      <c r="C22" s="7">
        <v>10596555.220000001</v>
      </c>
      <c r="D22" s="7">
        <v>2914294.4053800688</v>
      </c>
      <c r="E22" s="62">
        <f>Overall_Energy[[#This Row],[Building Electricity Cost (THB)]]/Overall_Energy[[#This Row],[Building Energy Consumption (kWh)]]</f>
        <v>3.7494003326020806</v>
      </c>
    </row>
    <row r="23" spans="1:5" hidden="1">
      <c r="A23" s="6">
        <v>44780</v>
      </c>
      <c r="B23" s="7">
        <v>2787600</v>
      </c>
      <c r="C23" s="7">
        <v>10953229.109999999</v>
      </c>
      <c r="D23" s="7">
        <v>2908647.808479174</v>
      </c>
      <c r="E23" s="62">
        <f>Overall_Energy[[#This Row],[Building Electricity Cost (THB)]]/Overall_Energy[[#This Row],[Building Energy Consumption (kWh)]]</f>
        <v>3.9292685858803269</v>
      </c>
    </row>
    <row r="24" spans="1:5" hidden="1">
      <c r="A24" s="6">
        <v>44812</v>
      </c>
      <c r="B24" s="7">
        <v>2680600</v>
      </c>
      <c r="C24" s="7">
        <v>12577825.82</v>
      </c>
      <c r="D24" s="7">
        <v>3468805.7139974809</v>
      </c>
      <c r="E24" s="62">
        <f>Overall_Energy[[#This Row],[Building Electricity Cost (THB)]]/Overall_Energy[[#This Row],[Building Energy Consumption (kWh)]]</f>
        <v>4.6921681041557859</v>
      </c>
    </row>
    <row r="25" spans="1:5" hidden="1">
      <c r="A25" s="6">
        <v>44843</v>
      </c>
      <c r="B25" s="7">
        <v>2802600</v>
      </c>
      <c r="C25" s="7">
        <v>12813187.300000001</v>
      </c>
      <c r="D25" s="7">
        <v>3634767.1</v>
      </c>
      <c r="E25" s="62">
        <f>Overall_Energy[[#This Row],[Building Electricity Cost (THB)]]/Overall_Energy[[#This Row],[Building Energy Consumption (kWh)]]</f>
        <v>4.5718929922215086</v>
      </c>
    </row>
    <row r="26" spans="1:5" hidden="1">
      <c r="A26" s="6">
        <v>44867</v>
      </c>
      <c r="B26" s="7">
        <v>2659600</v>
      </c>
      <c r="C26" s="7">
        <v>12491762.470000001</v>
      </c>
      <c r="D26" s="7">
        <v>3583985.73</v>
      </c>
      <c r="E26" s="62">
        <f>Overall_Energy[[#This Row],[Building Electricity Cost (THB)]]/Overall_Energy[[#This Row],[Building Energy Consumption (kWh)]]</f>
        <v>4.6968575988870507</v>
      </c>
    </row>
    <row r="27" spans="1:5" hidden="1">
      <c r="A27" s="6">
        <v>44897</v>
      </c>
      <c r="B27" s="7">
        <v>2710200</v>
      </c>
      <c r="C27" s="7">
        <v>12465519.35</v>
      </c>
      <c r="D27" s="7">
        <v>3548416.9725383748</v>
      </c>
      <c r="E27" s="62">
        <f>Overall_Energy[[#This Row],[Building Electricity Cost (THB)]]/Overall_Energy[[#This Row],[Building Energy Consumption (kWh)]]</f>
        <v>4.5994831931222784</v>
      </c>
    </row>
    <row r="28" spans="1:5" hidden="1">
      <c r="A28" s="6">
        <v>44928</v>
      </c>
      <c r="B28" s="7">
        <v>2736200</v>
      </c>
      <c r="C28" s="7">
        <v>14561240.33</v>
      </c>
      <c r="D28" s="7">
        <v>4123556.0943955821</v>
      </c>
      <c r="E28" s="62">
        <f>Overall_Energy[[#This Row],[Building Electricity Cost (THB)]]/Overall_Energy[[#This Row],[Building Energy Consumption (kWh)]]</f>
        <v>5.321701750603026</v>
      </c>
    </row>
    <row r="29" spans="1:5" hidden="1">
      <c r="A29" s="6">
        <v>44959</v>
      </c>
      <c r="B29" s="7">
        <v>2521200</v>
      </c>
      <c r="C29" s="7">
        <v>13485838.560000001</v>
      </c>
      <c r="D29" s="7">
        <v>3824193.07</v>
      </c>
      <c r="E29" s="62">
        <f>Overall_Energy[[#This Row],[Building Electricity Cost (THB)]]/Overall_Energy[[#This Row],[Building Energy Consumption (kWh)]]</f>
        <v>5.3489761066158978</v>
      </c>
    </row>
    <row r="30" spans="1:5" hidden="1">
      <c r="A30" s="6">
        <v>44988</v>
      </c>
      <c r="B30" s="7">
        <v>2821800</v>
      </c>
      <c r="C30" s="7">
        <v>15036538.439999999</v>
      </c>
      <c r="D30" s="7">
        <v>4174566.11</v>
      </c>
      <c r="E30" s="62">
        <f>Overall_Energy[[#This Row],[Building Electricity Cost (THB)]]/Overall_Energy[[#This Row],[Building Energy Consumption (kWh)]]</f>
        <v>5.3287045290240274</v>
      </c>
    </row>
    <row r="31" spans="1:5" hidden="1">
      <c r="A31" s="6">
        <v>45020</v>
      </c>
      <c r="B31" s="7">
        <v>2746200</v>
      </c>
      <c r="C31" s="7">
        <v>14280743.25</v>
      </c>
      <c r="D31" s="7">
        <v>3935087.19</v>
      </c>
      <c r="E31" s="62">
        <f>Overall_Energy[[#This Row],[Building Electricity Cost (THB)]]/Overall_Energy[[#This Row],[Building Energy Consumption (kWh)]]</f>
        <v>5.2001832532226349</v>
      </c>
    </row>
    <row r="32" spans="1:5" hidden="1">
      <c r="A32" s="6">
        <v>45051</v>
      </c>
      <c r="B32" s="7">
        <v>2853800</v>
      </c>
      <c r="C32" s="7">
        <v>13156947.65</v>
      </c>
      <c r="D32" s="7">
        <v>3584432.27</v>
      </c>
      <c r="E32" s="62">
        <f>Overall_Energy[[#This Row],[Building Electricity Cost (THB)]]/Overall_Energy[[#This Row],[Building Energy Consumption (kWh)]]</f>
        <v>4.6103257586376065</v>
      </c>
    </row>
    <row r="33" spans="1:5" hidden="1">
      <c r="A33" s="6">
        <v>45083</v>
      </c>
      <c r="B33" s="7">
        <v>2737800</v>
      </c>
      <c r="C33" s="7">
        <v>12796339.85</v>
      </c>
      <c r="D33" s="7">
        <v>3456325.68</v>
      </c>
      <c r="E33" s="62">
        <f>Overall_Energy[[#This Row],[Building Electricity Cost (THB)]]/Overall_Energy[[#This Row],[Building Energy Consumption (kWh)]]</f>
        <v>4.6739498319818829</v>
      </c>
    </row>
    <row r="34" spans="1:5" hidden="1">
      <c r="A34" s="6">
        <v>45114</v>
      </c>
      <c r="B34" s="7">
        <v>2800000</v>
      </c>
      <c r="C34" s="7">
        <v>12834102.630000001</v>
      </c>
      <c r="D34" s="7">
        <v>3505995.110418757</v>
      </c>
      <c r="E34" s="62">
        <f>Overall_Energy[[#This Row],[Building Electricity Cost (THB)]]/Overall_Energy[[#This Row],[Building Energy Consumption (kWh)]]</f>
        <v>4.5836080821428578</v>
      </c>
    </row>
    <row r="35" spans="1:5" hidden="1">
      <c r="A35" s="6">
        <v>45146</v>
      </c>
      <c r="B35" s="7">
        <v>2790400</v>
      </c>
      <c r="C35" s="7">
        <v>12865682.310000001</v>
      </c>
      <c r="D35" s="7">
        <v>3504007.4871862652</v>
      </c>
      <c r="E35" s="62">
        <f>Overall_Energy[[#This Row],[Building Electricity Cost (THB)]]/Overall_Energy[[#This Row],[Building Energy Consumption (kWh)]]</f>
        <v>4.6106946351777527</v>
      </c>
    </row>
    <row r="36" spans="1:5" hidden="1">
      <c r="A36" s="6">
        <v>45171</v>
      </c>
      <c r="B36" s="7">
        <v>2666000</v>
      </c>
      <c r="C36" s="7">
        <v>11687096.1</v>
      </c>
      <c r="D36" s="7">
        <v>3153473.4629514068</v>
      </c>
      <c r="E36" s="62">
        <f>Overall_Energy[[#This Row],[Building Electricity Cost (THB)]]/Overall_Energy[[#This Row],[Building Energy Consumption (kWh)]]</f>
        <v>4.383756976744186</v>
      </c>
    </row>
    <row r="37" spans="1:5" hidden="1">
      <c r="A37" s="6">
        <v>45201</v>
      </c>
      <c r="B37" s="7">
        <v>2772200</v>
      </c>
      <c r="C37" s="7">
        <v>10601037.779999999</v>
      </c>
      <c r="D37" s="7">
        <v>2871743.8852580581</v>
      </c>
      <c r="E37" s="62">
        <f>Overall_Energy[[#This Row],[Building Electricity Cost (THB)]]/Overall_Energy[[#This Row],[Building Energy Consumption (kWh)]]</f>
        <v>3.8240522978140103</v>
      </c>
    </row>
    <row r="38" spans="1:5" hidden="1">
      <c r="A38" s="6">
        <v>45233</v>
      </c>
      <c r="B38" s="7">
        <v>2679400</v>
      </c>
      <c r="C38" s="7">
        <v>10492797.77</v>
      </c>
      <c r="D38" s="7">
        <v>2847070.2539251968</v>
      </c>
      <c r="E38" s="62">
        <f>Overall_Energy[[#This Row],[Building Electricity Cost (THB)]]/Overall_Energy[[#This Row],[Building Energy Consumption (kWh)]]</f>
        <v>3.9160997872658054</v>
      </c>
    </row>
    <row r="39" spans="1:5" hidden="1">
      <c r="A39" s="6">
        <v>45264</v>
      </c>
      <c r="B39" s="7">
        <v>2759600</v>
      </c>
      <c r="C39" s="7">
        <v>10555594.6</v>
      </c>
      <c r="D39" s="7">
        <v>2841185.3178371899</v>
      </c>
      <c r="E39" s="62">
        <f>Overall_Energy[[#This Row],[Building Electricity Cost (THB)]]/Overall_Energy[[#This Row],[Building Energy Consumption (kWh)]]</f>
        <v>3.8250451514712274</v>
      </c>
    </row>
    <row r="40" spans="1:5" hidden="1">
      <c r="A40" s="6">
        <v>45293</v>
      </c>
      <c r="B40" s="7">
        <v>2772600</v>
      </c>
      <c r="C40" s="7">
        <v>11345691.220000001</v>
      </c>
      <c r="D40" s="7">
        <v>3093047.0650350549</v>
      </c>
      <c r="E40" s="62">
        <f>Overall_Energy[[#This Row],[Building Electricity Cost (THB)]]/Overall_Energy[[#This Row],[Building Energy Consumption (kWh)]]</f>
        <v>4.0920764697395953</v>
      </c>
    </row>
    <row r="41" spans="1:5" hidden="1">
      <c r="A41" s="6">
        <v>45325</v>
      </c>
      <c r="B41" s="7">
        <v>2659000</v>
      </c>
      <c r="C41" s="7">
        <v>10964515.92</v>
      </c>
      <c r="D41" s="7">
        <v>3064431.35</v>
      </c>
      <c r="E41" s="62">
        <f>Overall_Energy[[#This Row],[Building Electricity Cost (THB)]]/Overall_Energy[[#This Row],[Building Energy Consumption (kWh)]]</f>
        <v>4.1235486724332455</v>
      </c>
    </row>
    <row r="42" spans="1:5" hidden="1">
      <c r="A42" s="6">
        <v>45355</v>
      </c>
      <c r="B42" s="7">
        <v>2897000</v>
      </c>
      <c r="C42" s="7">
        <v>11774735.93</v>
      </c>
      <c r="D42" s="7">
        <v>3169488.3673090739</v>
      </c>
      <c r="E42" s="62">
        <f>Overall_Energy[[#This Row],[Building Electricity Cost (THB)]]/Overall_Energy[[#This Row],[Building Energy Consumption (kWh)]]</f>
        <v>4.0644583810838801</v>
      </c>
    </row>
    <row r="43" spans="1:5" hidden="1">
      <c r="A43" s="6">
        <v>45384</v>
      </c>
      <c r="B43" s="7">
        <v>2827200</v>
      </c>
      <c r="C43" s="7">
        <v>11606766.41</v>
      </c>
      <c r="D43" s="7">
        <v>3293630.15</v>
      </c>
      <c r="E43" s="62">
        <f>Overall_Energy[[#This Row],[Building Electricity Cost (THB)]]/Overall_Energy[[#This Row],[Building Energy Consumption (kWh)]]</f>
        <v>4.1053927596208259</v>
      </c>
    </row>
    <row r="44" spans="1:5" hidden="1">
      <c r="A44" s="6">
        <v>45414</v>
      </c>
      <c r="B44" s="7">
        <v>2911400</v>
      </c>
      <c r="C44" s="7">
        <v>11837763.210000001</v>
      </c>
      <c r="D44" s="7">
        <v>3185981.6390132252</v>
      </c>
      <c r="E44" s="62">
        <f>Overall_Energy[[#This Row],[Building Electricity Cost (THB)]]/Overall_Energy[[#This Row],[Building Energy Consumption (kWh)]]</f>
        <v>4.0660037129903142</v>
      </c>
    </row>
    <row r="45" spans="1:5" hidden="1">
      <c r="A45" s="6">
        <v>45445</v>
      </c>
      <c r="B45" s="7">
        <v>2874400</v>
      </c>
      <c r="C45" s="7">
        <v>11573209.41</v>
      </c>
      <c r="D45" s="7">
        <v>3044772.914863694</v>
      </c>
      <c r="E45" s="62">
        <f>Overall_Energy[[#This Row],[Building Electricity Cost (THB)]]/Overall_Energy[[#This Row],[Building Energy Consumption (kWh)]]</f>
        <v>4.0263044148344003</v>
      </c>
    </row>
    <row r="46" spans="1:5" hidden="1">
      <c r="A46" s="6">
        <v>45478</v>
      </c>
      <c r="B46" s="7">
        <v>2934800</v>
      </c>
      <c r="C46" s="7">
        <v>12082040.5</v>
      </c>
      <c r="D46" s="7">
        <v>3206906.52</v>
      </c>
      <c r="E46" s="62">
        <f>Overall_Energy[[#This Row],[Building Electricity Cost (THB)]]/Overall_Energy[[#This Row],[Building Energy Consumption (kWh)]]</f>
        <v>4.1168190336649859</v>
      </c>
    </row>
    <row r="47" spans="1:5" hidden="1">
      <c r="A47" s="6">
        <v>45509</v>
      </c>
      <c r="B47" s="7">
        <v>3055600</v>
      </c>
      <c r="C47" s="7">
        <v>12409574.439999999</v>
      </c>
      <c r="D47" s="7">
        <v>3350601.343824795</v>
      </c>
      <c r="E47" s="62">
        <f>Overall_Energy[[#This Row],[Building Electricity Cost (THB)]]/Overall_Energy[[#This Row],[Building Energy Consumption (kWh)]]</f>
        <v>4.0612561984552951</v>
      </c>
    </row>
    <row r="48" spans="1:5" hidden="1">
      <c r="A48" s="6">
        <v>45540</v>
      </c>
      <c r="B48" s="7">
        <v>3029026.2</v>
      </c>
      <c r="C48" s="7">
        <v>12367943.390000001</v>
      </c>
      <c r="D48" s="7">
        <v>3255061.0174252321</v>
      </c>
      <c r="E48" s="62">
        <f>Overall_Energy[[#This Row],[Building Electricity Cost (THB)]]/Overall_Energy[[#This Row],[Building Energy Consumption (kWh)]]</f>
        <v>4.0831417668160146</v>
      </c>
    </row>
    <row r="49" spans="1:5" hidden="1">
      <c r="A49" s="6">
        <v>45570</v>
      </c>
      <c r="B49" s="7">
        <v>3017972.22</v>
      </c>
      <c r="C49" s="7">
        <v>12344647.74</v>
      </c>
      <c r="D49" s="7">
        <v>3132961.3630268169</v>
      </c>
      <c r="E49" s="62">
        <f>Overall_Energy[[#This Row],[Building Electricity Cost (THB)]]/Overall_Energy[[#This Row],[Building Energy Consumption (kWh)]]</f>
        <v>4.0903781877753662</v>
      </c>
    </row>
    <row r="50" spans="1:5" hidden="1">
      <c r="A50" s="6">
        <v>45601</v>
      </c>
      <c r="B50" s="7">
        <v>3105930</v>
      </c>
      <c r="C50" s="7">
        <v>12648705.67</v>
      </c>
      <c r="D50" s="7">
        <v>3736189.327733174</v>
      </c>
      <c r="E50" s="62">
        <f>Overall_Energy[[#This Row],[Building Electricity Cost (THB)]]/Overall_Energy[[#This Row],[Building Energy Consumption (kWh)]]</f>
        <v>4.0724374567359858</v>
      </c>
    </row>
    <row r="51" spans="1:5" hidden="1">
      <c r="A51" s="6">
        <v>45631</v>
      </c>
      <c r="B51" s="7">
        <v>3143800</v>
      </c>
      <c r="C51" s="7">
        <v>12575658.32</v>
      </c>
      <c r="D51" s="7">
        <v>3720164.381430083</v>
      </c>
      <c r="E51" s="62">
        <f>Overall_Energy[[#This Row],[Building Electricity Cost (THB)]]/Overall_Energy[[#This Row],[Building Energy Consumption (kWh)]]</f>
        <v>4.0001457853553024</v>
      </c>
    </row>
    <row r="52" spans="1:5" hidden="1">
      <c r="A52" s="6">
        <v>45658</v>
      </c>
      <c r="B52" s="7">
        <v>3100200</v>
      </c>
      <c r="C52" s="7">
        <v>12568639.439999999</v>
      </c>
      <c r="D52" s="7">
        <v>3887222.9031778811</v>
      </c>
      <c r="E52" s="62">
        <f>Overall_Energy[[#This Row],[Building Electricity Cost (THB)]]/Overall_Energy[[#This Row],[Building Energy Consumption (kWh)]]</f>
        <v>4.0541382620476094</v>
      </c>
    </row>
    <row r="53" spans="1:5" hidden="1">
      <c r="A53" s="6">
        <v>45689</v>
      </c>
      <c r="B53" s="7">
        <v>2883200</v>
      </c>
      <c r="C53" s="7">
        <v>11673662.460000001</v>
      </c>
      <c r="D53" s="7">
        <v>3560118.8486589151</v>
      </c>
      <c r="E53" s="62">
        <f>Overall_Energy[[#This Row],[Building Electricity Cost (THB)]]/Overall_Energy[[#This Row],[Building Energy Consumption (kWh)]]</f>
        <v>4.0488562916204218</v>
      </c>
    </row>
    <row r="54" spans="1:5" hidden="1">
      <c r="A54" s="6">
        <v>45717</v>
      </c>
      <c r="B54" s="7">
        <v>3268800</v>
      </c>
      <c r="C54" s="7">
        <v>13165945.67</v>
      </c>
      <c r="D54" s="7">
        <v>4187503.775590586</v>
      </c>
      <c r="E54" s="62">
        <f>Overall_Energy[[#This Row],[Building Electricity Cost (THB)]]/Overall_Energy[[#This Row],[Building Energy Consumption (kWh)]]</f>
        <v>4.0277611569995102</v>
      </c>
    </row>
    <row r="55" spans="1:5" hidden="1">
      <c r="A55" s="6">
        <v>45748</v>
      </c>
      <c r="B55" s="7">
        <v>3226800</v>
      </c>
      <c r="C55" s="7">
        <v>12992809.01</v>
      </c>
      <c r="D55" s="7">
        <v>4005798.820803667</v>
      </c>
      <c r="E55" s="62">
        <f>Overall_Energy[[#This Row],[Building Electricity Cost (THB)]]/Overall_Energy[[#This Row],[Building Energy Consumption (kWh)]]</f>
        <v>4.0265306216685257</v>
      </c>
    </row>
    <row r="56" spans="1:5" hidden="1">
      <c r="A56" s="6">
        <v>45778</v>
      </c>
      <c r="B56" s="7">
        <v>3305200</v>
      </c>
      <c r="C56" s="7">
        <v>12707632.83</v>
      </c>
      <c r="D56" s="7">
        <v>4005631.0306679192</v>
      </c>
      <c r="E56" s="62">
        <f>Overall_Energy[[#This Row],[Building Electricity Cost (THB)]]/Overall_Energy[[#This Row],[Building Energy Consumption (kWh)]]</f>
        <v>3.8447394499576424</v>
      </c>
    </row>
    <row r="57" spans="1:5" hidden="1">
      <c r="A57" s="6">
        <v>45809</v>
      </c>
      <c r="B57" s="7">
        <v>3234800</v>
      </c>
      <c r="C57" s="7">
        <v>12424478.550000001</v>
      </c>
      <c r="D57" s="7">
        <v>3852063.083265177</v>
      </c>
      <c r="E57" s="62">
        <f>Overall_Energy[[#This Row],[Building Electricity Cost (THB)]]/Overall_Energy[[#This Row],[Building Energy Consumption (kWh)]]</f>
        <v>3.8408799771237789</v>
      </c>
    </row>
    <row r="58" spans="1:5" hidden="1">
      <c r="A58" s="6">
        <v>45839</v>
      </c>
      <c r="B58" s="7">
        <v>3311800</v>
      </c>
      <c r="C58" s="7">
        <v>12631235.15</v>
      </c>
      <c r="D58" s="7">
        <v>3827860</v>
      </c>
      <c r="E58" s="62">
        <f>Overall_Energy[[#This Row],[Building Electricity Cost (THB)]]/Overall_Energy[[#This Row],[Building Energy Consumption (kWh)]]</f>
        <v>3.8140090434204965</v>
      </c>
    </row>
    <row r="59" spans="1:5" hidden="1">
      <c r="A59" s="6">
        <v>45870</v>
      </c>
      <c r="B59" s="7">
        <v>3337000</v>
      </c>
      <c r="C59" s="7">
        <v>12735582.49</v>
      </c>
      <c r="D59" s="7">
        <v>4094659.6037446982</v>
      </c>
      <c r="E59" s="62">
        <f>Overall_Energy[[#This Row],[Building Electricity Cost (THB)]]/Overall_Energy[[#This Row],[Building Energy Consumption (kWh)]]</f>
        <v>3.8164766227150135</v>
      </c>
    </row>
    <row r="60" spans="1:5" hidden="1">
      <c r="A60" s="6">
        <v>45901</v>
      </c>
      <c r="B60" s="7">
        <v>3242000</v>
      </c>
      <c r="C60" s="7">
        <v>12520759.85</v>
      </c>
      <c r="D60" s="7">
        <v>3874831.4512965791</v>
      </c>
      <c r="E60" s="62">
        <f>Overall_Energy[[#This Row],[Building Electricity Cost (THB)]]/Overall_Energy[[#This Row],[Building Energy Consumption (kWh)]]</f>
        <v>3.862048072177668</v>
      </c>
    </row>
    <row r="61" spans="1:5" hidden="1">
      <c r="A61" s="6">
        <v>45931</v>
      </c>
      <c r="B61" s="7">
        <v>3415400</v>
      </c>
      <c r="C61" s="7">
        <v>12976141</v>
      </c>
      <c r="D61" s="7">
        <v>3843854.0813275189</v>
      </c>
      <c r="E61" s="62">
        <f>Overall_Energy[[#This Row],[Building Electricity Cost (THB)]]/Overall_Energy[[#This Row],[Building Energy Consumption (kWh)]]</f>
        <v>3.7993034490835629</v>
      </c>
    </row>
    <row r="62" spans="1:5" hidden="1">
      <c r="A62" s="6">
        <v>45962</v>
      </c>
      <c r="B62" s="7">
        <v>3304800</v>
      </c>
      <c r="C62" s="7">
        <v>12545674.630000001</v>
      </c>
      <c r="D62" s="7">
        <v>4435809.7417104822</v>
      </c>
      <c r="E62" s="62">
        <f>Overall_Energy[[#This Row],[Building Electricity Cost (THB)]]/Overall_Energy[[#This Row],[Building Energy Consumption (kWh)]]</f>
        <v>3.7961978425320746</v>
      </c>
    </row>
    <row r="63" spans="1:5" hidden="1">
      <c r="A63" s="6">
        <v>45992</v>
      </c>
      <c r="B63" s="7">
        <v>3427400</v>
      </c>
      <c r="C63" s="7">
        <v>12931048.85</v>
      </c>
      <c r="D63" s="7">
        <v>3322228.5907551679</v>
      </c>
      <c r="E63" s="62">
        <f>Overall_Energy[[#This Row],[Building Electricity Cost (THB)]]/Overall_Energy[[#This Row],[Building Energy Consumption (kWh)]]</f>
        <v>3.7728449699480655</v>
      </c>
    </row>
    <row r="64" spans="1:5">
      <c r="A64" s="6">
        <v>46023</v>
      </c>
      <c r="B64" s="7">
        <v>3422600</v>
      </c>
      <c r="C64" s="7">
        <v>12785935.359999999</v>
      </c>
      <c r="D64" s="7">
        <v>3323790.5375516992</v>
      </c>
      <c r="E64" s="62">
        <f>Overall_Energy[[#This Row],[Building Electricity Cost (THB)]]/Overall_Energy[[#This Row],[Building Energy Consumption (kWh)]]</f>
        <v>3.7357375562437909</v>
      </c>
    </row>
    <row r="65" spans="1:7">
      <c r="A65" s="6">
        <v>46054</v>
      </c>
      <c r="B65" s="7">
        <v>3254800</v>
      </c>
      <c r="C65" s="7">
        <v>12360320.109999999</v>
      </c>
      <c r="D65" s="7">
        <v>3083261.353693468</v>
      </c>
      <c r="E65" s="62">
        <f>Overall_Energy[[#This Row],[Building Electricity Cost (THB)]]/Overall_Energy[[#This Row],[Building Energy Consumption (kWh)]]</f>
        <v>3.7975667045594199</v>
      </c>
    </row>
    <row r="66" spans="1:7">
      <c r="A66" s="6">
        <v>46082</v>
      </c>
      <c r="B66" s="7">
        <v>3699200</v>
      </c>
      <c r="C66" s="7">
        <v>13838745.789999999</v>
      </c>
      <c r="D66" s="7">
        <v>3385289.866018292</v>
      </c>
      <c r="E66" s="62">
        <f>Overall_Energy[[#This Row],[Building Electricity Cost (THB)]]/Overall_Energy[[#This Row],[Building Energy Consumption (kWh)]]</f>
        <v>3.7410104319852939</v>
      </c>
    </row>
    <row r="67" spans="1:7">
      <c r="A67" s="6">
        <v>46113</v>
      </c>
      <c r="B67" s="7">
        <v>3643400</v>
      </c>
      <c r="C67" s="7">
        <v>13394464.26</v>
      </c>
      <c r="D67" s="7">
        <v>3308251.2021182552</v>
      </c>
      <c r="E67" s="62">
        <f>Overall_Energy[[#This Row],[Building Electricity Cost (THB)]]/Overall_Energy[[#This Row],[Building Energy Consumption (kWh)]]</f>
        <v>3.6763639073392982</v>
      </c>
    </row>
    <row r="68" spans="1:7">
      <c r="A68" s="6">
        <v>46143</v>
      </c>
      <c r="B68" s="7">
        <v>3723000</v>
      </c>
      <c r="C68" s="7">
        <v>13949759.4</v>
      </c>
      <c r="D68" s="7">
        <v>3456731.1070698169</v>
      </c>
      <c r="E68" s="62">
        <f>Overall_Energy[[#This Row],[Building Electricity Cost (THB)]]/Overall_Energy[[#This Row],[Building Energy Consumption (kWh)]]</f>
        <v>3.7469136180499598</v>
      </c>
    </row>
    <row r="69" spans="1:7">
      <c r="G69" s="6"/>
    </row>
    <row r="70" spans="1:7">
      <c r="G70" s="6"/>
    </row>
    <row r="71" spans="1:7">
      <c r="G71" s="6"/>
    </row>
    <row r="72" spans="1:7">
      <c r="G72" s="6"/>
    </row>
    <row r="73" spans="1:7">
      <c r="G73" s="6"/>
    </row>
    <row r="74" spans="1:7">
      <c r="G74" s="6"/>
    </row>
    <row r="75" spans="1:7">
      <c r="G75" s="6"/>
    </row>
    <row r="76" spans="1:7">
      <c r="G76" s="6"/>
    </row>
    <row r="77" spans="1:7">
      <c r="G77" s="6"/>
    </row>
    <row r="78" spans="1:7">
      <c r="G78" s="6"/>
    </row>
    <row r="79" spans="1:7">
      <c r="G79" s="6"/>
    </row>
    <row r="80" spans="1:7">
      <c r="G80" s="6"/>
    </row>
    <row r="81" spans="7:7">
      <c r="G81" s="6"/>
    </row>
    <row r="82" spans="7:7">
      <c r="G82" s="6"/>
    </row>
    <row r="83" spans="7:7">
      <c r="G83" s="6"/>
    </row>
    <row r="84" spans="7:7">
      <c r="G84" s="6"/>
    </row>
    <row r="85" spans="7:7">
      <c r="G85" s="6"/>
    </row>
    <row r="86" spans="7:7">
      <c r="G86" s="6"/>
    </row>
    <row r="87" spans="7:7">
      <c r="G87" s="6"/>
    </row>
    <row r="88" spans="7:7">
      <c r="G88" s="6"/>
    </row>
    <row r="89" spans="7:7">
      <c r="G89" s="6"/>
    </row>
    <row r="90" spans="7:7">
      <c r="G90" s="6"/>
    </row>
    <row r="91" spans="7:7">
      <c r="G91" s="6"/>
    </row>
    <row r="92" spans="7:7">
      <c r="G92" s="6"/>
    </row>
    <row r="93" spans="7:7">
      <c r="G93" s="6"/>
    </row>
    <row r="94" spans="7:7">
      <c r="G94" s="6"/>
    </row>
    <row r="95" spans="7:7">
      <c r="G95" s="6"/>
    </row>
    <row r="96" spans="7:7">
      <c r="G96" s="6"/>
    </row>
    <row r="97" spans="7:7">
      <c r="G97" s="6"/>
    </row>
    <row r="98" spans="7:7">
      <c r="G98" s="6"/>
    </row>
    <row r="99" spans="7:7">
      <c r="G99" s="6"/>
    </row>
    <row r="100" spans="7:7">
      <c r="G100" s="6"/>
    </row>
    <row r="101" spans="7:7">
      <c r="G101" s="6"/>
    </row>
    <row r="102" spans="7:7">
      <c r="G102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3"/>
  <sheetViews>
    <sheetView workbookViewId="0">
      <selection activeCell="F23" sqref="A1:F23"/>
    </sheetView>
  </sheetViews>
  <sheetFormatPr defaultRowHeight="13.2"/>
  <cols>
    <col min="1" max="1" width="22" bestFit="1" customWidth="1"/>
    <col min="2" max="2" width="9.21875" bestFit="1" customWidth="1"/>
    <col min="3" max="3" width="7.33203125" bestFit="1" customWidth="1"/>
    <col min="4" max="4" width="9.21875" bestFit="1" customWidth="1"/>
    <col min="5" max="5" width="19" bestFit="1" customWidth="1"/>
    <col min="6" max="6" width="5.88671875" bestFit="1" customWidth="1"/>
    <col min="7" max="7" width="65.6640625" customWidth="1"/>
  </cols>
  <sheetData>
    <row r="1" spans="1:6" s="4" customFormat="1" ht="14.4" customHeight="1">
      <c r="A1" s="58" t="s">
        <v>1</v>
      </c>
      <c r="B1" s="58" t="s">
        <v>2</v>
      </c>
      <c r="C1" s="58" t="s">
        <v>3</v>
      </c>
      <c r="D1" s="58" t="s">
        <v>4</v>
      </c>
      <c r="E1" s="58" t="s">
        <v>68</v>
      </c>
      <c r="F1" s="58" t="s">
        <v>70</v>
      </c>
    </row>
    <row r="2" spans="1:6" s="4" customFormat="1" ht="14.4" customHeight="1">
      <c r="A2" s="160" t="s">
        <v>11</v>
      </c>
      <c r="B2" s="156" t="s">
        <v>12</v>
      </c>
      <c r="C2" s="156" t="s">
        <v>13</v>
      </c>
      <c r="D2" s="156" t="s">
        <v>14</v>
      </c>
      <c r="E2" s="56" t="s">
        <v>41</v>
      </c>
      <c r="F2" s="56">
        <v>4</v>
      </c>
    </row>
    <row r="3" spans="1:6" s="4" customFormat="1" ht="14.4" customHeight="1">
      <c r="A3" s="155"/>
      <c r="B3" s="155"/>
      <c r="C3" s="155"/>
      <c r="D3" s="155"/>
      <c r="E3" s="56" t="s">
        <v>42</v>
      </c>
      <c r="F3" s="56">
        <v>4</v>
      </c>
    </row>
    <row r="4" spans="1:6" s="4" customFormat="1" ht="14.4" customHeight="1">
      <c r="A4" s="155"/>
      <c r="B4" s="155"/>
      <c r="C4" s="155"/>
      <c r="D4" s="155"/>
      <c r="E4" s="56" t="s">
        <v>43</v>
      </c>
      <c r="F4" s="56">
        <v>4</v>
      </c>
    </row>
    <row r="5" spans="1:6" s="4" customFormat="1" ht="14.4" customHeight="1">
      <c r="A5" s="155"/>
      <c r="B5" s="155"/>
      <c r="C5" s="155"/>
      <c r="D5" s="155"/>
      <c r="E5" s="56" t="s">
        <v>44</v>
      </c>
      <c r="F5" s="56">
        <v>4</v>
      </c>
    </row>
    <row r="6" spans="1:6" s="4" customFormat="1" ht="14.4" customHeight="1">
      <c r="A6" s="160" t="s">
        <v>15</v>
      </c>
      <c r="B6" s="156" t="s">
        <v>16</v>
      </c>
      <c r="C6" s="156" t="s">
        <v>17</v>
      </c>
      <c r="D6" s="156" t="s">
        <v>18</v>
      </c>
      <c r="E6" s="56" t="s">
        <v>45</v>
      </c>
      <c r="F6" s="56">
        <v>4</v>
      </c>
    </row>
    <row r="7" spans="1:6" s="4" customFormat="1" ht="14.4" customHeight="1">
      <c r="A7" s="155"/>
      <c r="B7" s="155"/>
      <c r="C7" s="155"/>
      <c r="D7" s="155"/>
      <c r="E7" s="56" t="s">
        <v>46</v>
      </c>
      <c r="F7" s="56">
        <v>4</v>
      </c>
    </row>
    <row r="8" spans="1:6" s="4" customFormat="1" ht="14.4" customHeight="1">
      <c r="A8" s="155"/>
      <c r="B8" s="155"/>
      <c r="C8" s="155"/>
      <c r="D8" s="155"/>
      <c r="E8" s="56" t="s">
        <v>47</v>
      </c>
      <c r="F8" s="56">
        <v>4</v>
      </c>
    </row>
    <row r="9" spans="1:6" s="4" customFormat="1" ht="14.4" customHeight="1">
      <c r="A9" s="155"/>
      <c r="B9" s="155"/>
      <c r="C9" s="155"/>
      <c r="D9" s="155"/>
      <c r="E9" s="56" t="s">
        <v>48</v>
      </c>
      <c r="F9" s="56">
        <v>4</v>
      </c>
    </row>
    <row r="10" spans="1:6" s="4" customFormat="1" ht="14.4" customHeight="1">
      <c r="A10" s="159" t="s">
        <v>52</v>
      </c>
      <c r="B10" s="159" t="s">
        <v>20</v>
      </c>
      <c r="C10" s="159" t="s">
        <v>21</v>
      </c>
      <c r="D10" s="159" t="s">
        <v>22</v>
      </c>
      <c r="E10" s="5" t="s">
        <v>53</v>
      </c>
      <c r="F10" s="5">
        <v>4</v>
      </c>
    </row>
    <row r="11" spans="1:6" s="4" customFormat="1" ht="14.4" customHeight="1">
      <c r="A11" s="155"/>
      <c r="B11" s="155"/>
      <c r="C11" s="155"/>
      <c r="D11" s="155"/>
      <c r="E11" s="5" t="s">
        <v>54</v>
      </c>
      <c r="F11" s="5">
        <v>4</v>
      </c>
    </row>
    <row r="12" spans="1:6" s="4" customFormat="1" ht="14.4" customHeight="1">
      <c r="A12" s="155"/>
      <c r="B12" s="155"/>
      <c r="C12" s="155"/>
      <c r="D12" s="155"/>
      <c r="E12" s="5" t="s">
        <v>55</v>
      </c>
      <c r="F12" s="5">
        <v>4</v>
      </c>
    </row>
    <row r="13" spans="1:6" s="4" customFormat="1" ht="14.4" customHeight="1">
      <c r="A13" s="159" t="s">
        <v>56</v>
      </c>
      <c r="B13" s="159" t="s">
        <v>24</v>
      </c>
      <c r="C13" s="159" t="s">
        <v>25</v>
      </c>
      <c r="D13" s="159" t="s">
        <v>26</v>
      </c>
      <c r="E13" s="5" t="s">
        <v>57</v>
      </c>
      <c r="F13" s="5">
        <v>4</v>
      </c>
    </row>
    <row r="14" spans="1:6" s="4" customFormat="1" ht="14.4" customHeight="1">
      <c r="A14" s="155"/>
      <c r="B14" s="155"/>
      <c r="C14" s="155"/>
      <c r="D14" s="155"/>
      <c r="E14" s="5" t="s">
        <v>58</v>
      </c>
      <c r="F14" s="5">
        <v>4</v>
      </c>
    </row>
    <row r="15" spans="1:6" s="4" customFormat="1" ht="14.4" customHeight="1">
      <c r="A15" s="155"/>
      <c r="B15" s="155"/>
      <c r="C15" s="155"/>
      <c r="D15" s="155"/>
      <c r="E15" s="5" t="s">
        <v>59</v>
      </c>
      <c r="F15" s="5">
        <v>4</v>
      </c>
    </row>
    <row r="16" spans="1:6" s="4" customFormat="1" ht="14.4" customHeight="1">
      <c r="A16" s="157" t="s">
        <v>27</v>
      </c>
      <c r="B16" s="158" t="s">
        <v>28</v>
      </c>
      <c r="C16" s="158" t="s">
        <v>29</v>
      </c>
      <c r="D16" s="158" t="s">
        <v>30</v>
      </c>
      <c r="E16" s="57" t="s">
        <v>60</v>
      </c>
      <c r="F16" s="57">
        <v>4</v>
      </c>
    </row>
    <row r="17" spans="1:6" s="4" customFormat="1" ht="14.4" customHeight="1">
      <c r="A17" s="155"/>
      <c r="B17" s="155"/>
      <c r="C17" s="155"/>
      <c r="D17" s="155"/>
      <c r="E17" s="57" t="s">
        <v>61</v>
      </c>
      <c r="F17" s="57">
        <v>4</v>
      </c>
    </row>
    <row r="18" spans="1:6" s="4" customFormat="1" ht="14.4" customHeight="1">
      <c r="A18" s="154" t="s">
        <v>31</v>
      </c>
      <c r="B18" s="154" t="s">
        <v>32</v>
      </c>
      <c r="C18" s="154" t="s">
        <v>33</v>
      </c>
      <c r="D18" s="154" t="s">
        <v>34</v>
      </c>
      <c r="E18" s="59" t="s">
        <v>62</v>
      </c>
      <c r="F18" s="59">
        <v>4</v>
      </c>
    </row>
    <row r="19" spans="1:6" s="4" customFormat="1" ht="14.4" customHeight="1">
      <c r="A19" s="155"/>
      <c r="B19" s="155"/>
      <c r="C19" s="155"/>
      <c r="D19" s="155"/>
      <c r="E19" s="60" t="s">
        <v>63</v>
      </c>
      <c r="F19" s="60">
        <v>3</v>
      </c>
    </row>
    <row r="20" spans="1:6" s="4" customFormat="1" ht="14.4" customHeight="1">
      <c r="A20" s="155"/>
      <c r="B20" s="155"/>
      <c r="C20" s="155"/>
      <c r="D20" s="155"/>
      <c r="E20" s="60" t="s">
        <v>64</v>
      </c>
      <c r="F20" s="60">
        <v>3</v>
      </c>
    </row>
    <row r="21" spans="1:6" s="4" customFormat="1" ht="14.4" customHeight="1">
      <c r="A21" s="154" t="s">
        <v>35</v>
      </c>
      <c r="B21" s="154" t="s">
        <v>36</v>
      </c>
      <c r="C21" s="154" t="s">
        <v>37</v>
      </c>
      <c r="D21" s="154" t="s">
        <v>38</v>
      </c>
      <c r="E21" s="59" t="s">
        <v>65</v>
      </c>
      <c r="F21" s="59">
        <v>4</v>
      </c>
    </row>
    <row r="22" spans="1:6" s="4" customFormat="1" ht="14.4" customHeight="1">
      <c r="A22" s="155"/>
      <c r="B22" s="155"/>
      <c r="C22" s="155"/>
      <c r="D22" s="155"/>
      <c r="E22" s="60" t="s">
        <v>66</v>
      </c>
      <c r="F22" s="60">
        <v>3</v>
      </c>
    </row>
    <row r="23" spans="1:6" s="4" customFormat="1" ht="15" customHeight="1">
      <c r="A23" s="155"/>
      <c r="B23" s="155"/>
      <c r="C23" s="155"/>
      <c r="D23" s="155"/>
      <c r="E23" s="60" t="s">
        <v>67</v>
      </c>
      <c r="F23" s="60">
        <v>3</v>
      </c>
    </row>
  </sheetData>
  <mergeCells count="28">
    <mergeCell ref="B2:B5"/>
    <mergeCell ref="D18:D20"/>
    <mergeCell ref="D2:D5"/>
    <mergeCell ref="A13:A15"/>
    <mergeCell ref="C13:C15"/>
    <mergeCell ref="A10:A12"/>
    <mergeCell ref="A6:A9"/>
    <mergeCell ref="D16:D17"/>
    <mergeCell ref="D10:D12"/>
    <mergeCell ref="C18:C20"/>
    <mergeCell ref="A2:A5"/>
    <mergeCell ref="C2:C5"/>
    <mergeCell ref="B6:B9"/>
    <mergeCell ref="C10:C12"/>
    <mergeCell ref="B18:B20"/>
    <mergeCell ref="B10:B12"/>
    <mergeCell ref="A21:A23"/>
    <mergeCell ref="C21:C23"/>
    <mergeCell ref="D6:D9"/>
    <mergeCell ref="A16:A17"/>
    <mergeCell ref="C16:C17"/>
    <mergeCell ref="B21:B23"/>
    <mergeCell ref="D21:D23"/>
    <mergeCell ref="B13:B15"/>
    <mergeCell ref="D13:D15"/>
    <mergeCell ref="B16:B17"/>
    <mergeCell ref="C6:C9"/>
    <mergeCell ref="A18:A20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50C9E-6141-4E92-8277-1A550EC4E899}">
  <sheetPr codeName="Sheet10"/>
  <dimension ref="A1:P382"/>
  <sheetViews>
    <sheetView zoomScaleNormal="100" workbookViewId="0">
      <pane ySplit="9" topLeftCell="A351" activePane="bottomLeft" state="frozen"/>
      <selection pane="bottomLeft" activeCell="A9" sqref="A9:G367"/>
    </sheetView>
  </sheetViews>
  <sheetFormatPr defaultColWidth="8.88671875" defaultRowHeight="14.4"/>
  <cols>
    <col min="1" max="1" width="15.33203125" style="104" bestFit="1" customWidth="1"/>
    <col min="2" max="2" width="12.88671875" style="104" bestFit="1" customWidth="1"/>
    <col min="3" max="3" width="19.109375" style="104" customWidth="1"/>
    <col min="4" max="4" width="22" style="104" customWidth="1"/>
    <col min="5" max="5" width="23.33203125" style="104" bestFit="1" customWidth="1"/>
    <col min="6" max="6" width="12.109375" style="104" bestFit="1" customWidth="1"/>
    <col min="7" max="7" width="39.33203125" style="104" bestFit="1" customWidth="1"/>
    <col min="8" max="16384" width="8.88671875" style="104"/>
  </cols>
  <sheetData>
    <row r="1" spans="1:7">
      <c r="A1" s="110" t="s">
        <v>559</v>
      </c>
      <c r="B1" s="110" t="s">
        <v>559</v>
      </c>
      <c r="C1"/>
      <c r="D1"/>
      <c r="E1"/>
      <c r="F1"/>
    </row>
    <row r="2" spans="1:7">
      <c r="A2" s="112" t="s">
        <v>124</v>
      </c>
      <c r="B2" s="54" t="s">
        <v>197</v>
      </c>
      <c r="C2" s="54" t="s">
        <v>131</v>
      </c>
      <c r="D2" s="54" t="s">
        <v>136</v>
      </c>
      <c r="E2" s="54" t="s">
        <v>141</v>
      </c>
      <c r="F2" s="54" t="s">
        <v>558</v>
      </c>
    </row>
    <row r="3" spans="1:7">
      <c r="A3" s="2" t="s">
        <v>121</v>
      </c>
      <c r="B3">
        <v>6</v>
      </c>
      <c r="C3">
        <v>5</v>
      </c>
      <c r="D3">
        <v>84</v>
      </c>
      <c r="E3">
        <v>3</v>
      </c>
      <c r="F3">
        <v>98</v>
      </c>
    </row>
    <row r="4" spans="1:7">
      <c r="A4" s="2" t="s">
        <v>262</v>
      </c>
      <c r="B4">
        <v>8</v>
      </c>
      <c r="C4"/>
      <c r="D4">
        <v>67</v>
      </c>
      <c r="E4"/>
      <c r="F4">
        <v>75</v>
      </c>
    </row>
    <row r="5" spans="1:7">
      <c r="A5" s="2" t="s">
        <v>344</v>
      </c>
      <c r="B5">
        <v>7</v>
      </c>
      <c r="C5"/>
      <c r="D5">
        <v>81</v>
      </c>
      <c r="E5">
        <v>3</v>
      </c>
      <c r="F5">
        <v>91</v>
      </c>
    </row>
    <row r="6" spans="1:7">
      <c r="A6" s="2" t="s">
        <v>448</v>
      </c>
      <c r="B6">
        <v>11</v>
      </c>
      <c r="C6">
        <v>19</v>
      </c>
      <c r="D6">
        <v>62</v>
      </c>
      <c r="E6">
        <v>2</v>
      </c>
      <c r="F6">
        <v>94</v>
      </c>
    </row>
    <row r="7" spans="1:7">
      <c r="A7" s="111" t="s">
        <v>558</v>
      </c>
      <c r="B7">
        <v>32</v>
      </c>
      <c r="C7">
        <v>24</v>
      </c>
      <c r="D7">
        <v>294</v>
      </c>
      <c r="E7">
        <v>8</v>
      </c>
      <c r="F7">
        <v>358</v>
      </c>
    </row>
    <row r="9" spans="1:7">
      <c r="A9" s="119" t="s">
        <v>124</v>
      </c>
      <c r="B9" s="120" t="s">
        <v>125</v>
      </c>
      <c r="C9" s="121" t="s">
        <v>126</v>
      </c>
      <c r="D9" s="121" t="s">
        <v>560</v>
      </c>
      <c r="E9" s="119" t="s">
        <v>127</v>
      </c>
      <c r="F9" s="120" t="s">
        <v>128</v>
      </c>
      <c r="G9" s="122" t="s">
        <v>129</v>
      </c>
    </row>
    <row r="10" spans="1:7">
      <c r="A10" s="113" t="s">
        <v>121</v>
      </c>
      <c r="B10" s="113" t="s">
        <v>130</v>
      </c>
      <c r="C10" s="113" t="s">
        <v>131</v>
      </c>
      <c r="D10" s="113" t="s">
        <v>132</v>
      </c>
      <c r="E10" s="114" t="s">
        <v>133</v>
      </c>
      <c r="F10" s="114" t="s">
        <v>134</v>
      </c>
      <c r="G10" s="115"/>
    </row>
    <row r="11" spans="1:7">
      <c r="A11" s="113" t="s">
        <v>121</v>
      </c>
      <c r="B11" s="113" t="s">
        <v>135</v>
      </c>
      <c r="C11" s="113" t="s">
        <v>136</v>
      </c>
      <c r="D11" s="113" t="s">
        <v>132</v>
      </c>
      <c r="E11" s="114" t="s">
        <v>137</v>
      </c>
      <c r="F11" s="114" t="s">
        <v>138</v>
      </c>
      <c r="G11" s="115"/>
    </row>
    <row r="12" spans="1:7">
      <c r="A12" s="113" t="s">
        <v>121</v>
      </c>
      <c r="B12" s="113" t="s">
        <v>139</v>
      </c>
      <c r="C12" s="113" t="s">
        <v>136</v>
      </c>
      <c r="D12" s="113" t="s">
        <v>132</v>
      </c>
      <c r="E12" s="114" t="s">
        <v>137</v>
      </c>
      <c r="F12" s="114" t="s">
        <v>138</v>
      </c>
      <c r="G12" s="115"/>
    </row>
    <row r="13" spans="1:7">
      <c r="A13" s="113" t="s">
        <v>121</v>
      </c>
      <c r="B13" s="113" t="s">
        <v>140</v>
      </c>
      <c r="C13" s="113" t="s">
        <v>141</v>
      </c>
      <c r="D13" s="113" t="s">
        <v>132</v>
      </c>
      <c r="E13" s="116"/>
      <c r="F13" s="114" t="s">
        <v>142</v>
      </c>
      <c r="G13" s="115" t="s">
        <v>143</v>
      </c>
    </row>
    <row r="14" spans="1:7">
      <c r="A14" s="113" t="s">
        <v>121</v>
      </c>
      <c r="B14" s="113" t="s">
        <v>144</v>
      </c>
      <c r="C14" s="113" t="s">
        <v>136</v>
      </c>
      <c r="D14" s="113" t="s">
        <v>145</v>
      </c>
      <c r="E14" s="114"/>
      <c r="F14" s="114" t="s">
        <v>142</v>
      </c>
      <c r="G14" s="115"/>
    </row>
    <row r="15" spans="1:7">
      <c r="A15" s="113" t="s">
        <v>121</v>
      </c>
      <c r="B15" s="113" t="s">
        <v>146</v>
      </c>
      <c r="C15" s="113" t="s">
        <v>136</v>
      </c>
      <c r="D15" s="113" t="s">
        <v>145</v>
      </c>
      <c r="E15" s="114"/>
      <c r="F15" s="114" t="s">
        <v>142</v>
      </c>
      <c r="G15" s="115"/>
    </row>
    <row r="16" spans="1:7">
      <c r="A16" s="113" t="s">
        <v>121</v>
      </c>
      <c r="B16" s="113" t="s">
        <v>147</v>
      </c>
      <c r="C16" s="113" t="s">
        <v>136</v>
      </c>
      <c r="D16" s="113" t="s">
        <v>145</v>
      </c>
      <c r="E16" s="114"/>
      <c r="F16" s="114" t="s">
        <v>142</v>
      </c>
      <c r="G16" s="115"/>
    </row>
    <row r="17" spans="1:7">
      <c r="A17" s="113" t="s">
        <v>121</v>
      </c>
      <c r="B17" s="113" t="s">
        <v>148</v>
      </c>
      <c r="C17" s="113" t="s">
        <v>136</v>
      </c>
      <c r="D17" s="113" t="s">
        <v>145</v>
      </c>
      <c r="E17" s="114"/>
      <c r="F17" s="114" t="s">
        <v>142</v>
      </c>
      <c r="G17" s="115"/>
    </row>
    <row r="18" spans="1:7">
      <c r="A18" s="113" t="s">
        <v>121</v>
      </c>
      <c r="B18" s="113" t="s">
        <v>149</v>
      </c>
      <c r="C18" s="113" t="s">
        <v>136</v>
      </c>
      <c r="D18" s="113" t="s">
        <v>150</v>
      </c>
      <c r="E18" s="114"/>
      <c r="F18" s="114" t="s">
        <v>138</v>
      </c>
      <c r="G18" s="115" t="s">
        <v>151</v>
      </c>
    </row>
    <row r="19" spans="1:7">
      <c r="A19" s="113" t="s">
        <v>121</v>
      </c>
      <c r="B19" s="113" t="s">
        <v>152</v>
      </c>
      <c r="C19" s="113" t="s">
        <v>136</v>
      </c>
      <c r="D19" s="113" t="s">
        <v>132</v>
      </c>
      <c r="E19" s="114" t="s">
        <v>153</v>
      </c>
      <c r="F19" s="114" t="s">
        <v>154</v>
      </c>
      <c r="G19" s="115"/>
    </row>
    <row r="20" spans="1:7">
      <c r="A20" s="113" t="s">
        <v>121</v>
      </c>
      <c r="B20" s="113" t="s">
        <v>155</v>
      </c>
      <c r="C20" s="113" t="s">
        <v>136</v>
      </c>
      <c r="D20" s="113" t="s">
        <v>132</v>
      </c>
      <c r="E20" s="114"/>
      <c r="F20" s="114" t="s">
        <v>142</v>
      </c>
      <c r="G20" s="115"/>
    </row>
    <row r="21" spans="1:7">
      <c r="A21" s="113" t="s">
        <v>121</v>
      </c>
      <c r="B21" s="113" t="s">
        <v>156</v>
      </c>
      <c r="C21" s="113" t="s">
        <v>136</v>
      </c>
      <c r="D21" s="113" t="s">
        <v>132</v>
      </c>
      <c r="E21" s="114"/>
      <c r="F21" s="114" t="s">
        <v>142</v>
      </c>
      <c r="G21" s="115"/>
    </row>
    <row r="22" spans="1:7">
      <c r="A22" s="113" t="s">
        <v>121</v>
      </c>
      <c r="B22" s="113" t="s">
        <v>157</v>
      </c>
      <c r="C22" s="113" t="s">
        <v>136</v>
      </c>
      <c r="D22" s="113" t="s">
        <v>132</v>
      </c>
      <c r="E22" s="114"/>
      <c r="F22" s="114" t="s">
        <v>142</v>
      </c>
      <c r="G22" s="115"/>
    </row>
    <row r="23" spans="1:7">
      <c r="A23" s="113" t="s">
        <v>121</v>
      </c>
      <c r="B23" s="113" t="s">
        <v>158</v>
      </c>
      <c r="C23" s="113" t="s">
        <v>136</v>
      </c>
      <c r="D23" s="113" t="s">
        <v>145</v>
      </c>
      <c r="E23" s="114"/>
      <c r="F23" s="114" t="s">
        <v>142</v>
      </c>
      <c r="G23" s="115"/>
    </row>
    <row r="24" spans="1:7">
      <c r="A24" s="113" t="s">
        <v>121</v>
      </c>
      <c r="B24" s="113" t="s">
        <v>159</v>
      </c>
      <c r="C24" s="113" t="s">
        <v>136</v>
      </c>
      <c r="D24" s="113" t="s">
        <v>145</v>
      </c>
      <c r="E24" s="114"/>
      <c r="F24" s="114" t="s">
        <v>142</v>
      </c>
      <c r="G24" s="115"/>
    </row>
    <row r="25" spans="1:7">
      <c r="A25" s="113" t="s">
        <v>121</v>
      </c>
      <c r="B25" s="113" t="s">
        <v>160</v>
      </c>
      <c r="C25" s="113" t="s">
        <v>136</v>
      </c>
      <c r="D25" s="113" t="s">
        <v>145</v>
      </c>
      <c r="E25" s="114"/>
      <c r="F25" s="114" t="s">
        <v>142</v>
      </c>
      <c r="G25" s="115"/>
    </row>
    <row r="26" spans="1:7">
      <c r="A26" s="113" t="s">
        <v>121</v>
      </c>
      <c r="B26" s="113" t="s">
        <v>161</v>
      </c>
      <c r="C26" s="113" t="s">
        <v>136</v>
      </c>
      <c r="D26" s="113" t="s">
        <v>162</v>
      </c>
      <c r="E26" s="114"/>
      <c r="F26" s="114" t="s">
        <v>138</v>
      </c>
      <c r="G26" s="115"/>
    </row>
    <row r="27" spans="1:7">
      <c r="A27" s="113" t="s">
        <v>121</v>
      </c>
      <c r="B27" s="113" t="s">
        <v>163</v>
      </c>
      <c r="C27" s="113" t="s">
        <v>136</v>
      </c>
      <c r="D27" s="113" t="s">
        <v>132</v>
      </c>
      <c r="E27" s="114" t="s">
        <v>164</v>
      </c>
      <c r="F27" s="114" t="s">
        <v>138</v>
      </c>
      <c r="G27" s="115"/>
    </row>
    <row r="28" spans="1:7">
      <c r="A28" s="113" t="s">
        <v>121</v>
      </c>
      <c r="B28" s="113" t="s">
        <v>165</v>
      </c>
      <c r="C28" s="113" t="s">
        <v>136</v>
      </c>
      <c r="D28" s="113" t="s">
        <v>132</v>
      </c>
      <c r="E28" s="114" t="s">
        <v>166</v>
      </c>
      <c r="F28" s="114" t="s">
        <v>142</v>
      </c>
      <c r="G28" s="115"/>
    </row>
    <row r="29" spans="1:7">
      <c r="A29" s="113" t="s">
        <v>121</v>
      </c>
      <c r="B29" s="113" t="s">
        <v>167</v>
      </c>
      <c r="C29" s="113" t="s">
        <v>136</v>
      </c>
      <c r="D29" s="113" t="s">
        <v>145</v>
      </c>
      <c r="E29" s="114" t="s">
        <v>168</v>
      </c>
      <c r="F29" s="114" t="s">
        <v>142</v>
      </c>
      <c r="G29" s="115"/>
    </row>
    <row r="30" spans="1:7">
      <c r="A30" s="113" t="s">
        <v>121</v>
      </c>
      <c r="B30" s="113" t="s">
        <v>169</v>
      </c>
      <c r="C30" s="113" t="s">
        <v>136</v>
      </c>
      <c r="D30" s="113" t="s">
        <v>132</v>
      </c>
      <c r="E30" s="114" t="s">
        <v>153</v>
      </c>
      <c r="F30" s="114" t="s">
        <v>154</v>
      </c>
      <c r="G30" s="115"/>
    </row>
    <row r="31" spans="1:7">
      <c r="A31" s="113" t="s">
        <v>121</v>
      </c>
      <c r="B31" s="113" t="s">
        <v>170</v>
      </c>
      <c r="C31" s="113" t="s">
        <v>136</v>
      </c>
      <c r="D31" s="113" t="s">
        <v>145</v>
      </c>
      <c r="E31" s="114" t="s">
        <v>168</v>
      </c>
      <c r="F31" s="114" t="s">
        <v>142</v>
      </c>
      <c r="G31" s="115"/>
    </row>
    <row r="32" spans="1:7">
      <c r="A32" s="113" t="s">
        <v>121</v>
      </c>
      <c r="B32" s="113" t="s">
        <v>171</v>
      </c>
      <c r="C32" s="113" t="s">
        <v>136</v>
      </c>
      <c r="D32" s="113" t="s">
        <v>145</v>
      </c>
      <c r="E32" s="114" t="s">
        <v>168</v>
      </c>
      <c r="F32" s="114" t="s">
        <v>142</v>
      </c>
      <c r="G32" s="115"/>
    </row>
    <row r="33" spans="1:7">
      <c r="A33" s="113" t="s">
        <v>121</v>
      </c>
      <c r="B33" s="113" t="s">
        <v>172</v>
      </c>
      <c r="C33" s="113" t="s">
        <v>136</v>
      </c>
      <c r="D33" s="113" t="s">
        <v>145</v>
      </c>
      <c r="E33" s="114" t="s">
        <v>168</v>
      </c>
      <c r="F33" s="114" t="s">
        <v>142</v>
      </c>
      <c r="G33" s="115"/>
    </row>
    <row r="34" spans="1:7">
      <c r="A34" s="113" t="s">
        <v>121</v>
      </c>
      <c r="B34" s="113" t="s">
        <v>173</v>
      </c>
      <c r="C34" s="113" t="s">
        <v>136</v>
      </c>
      <c r="D34" s="113" t="s">
        <v>150</v>
      </c>
      <c r="E34" s="114"/>
      <c r="F34" s="114" t="s">
        <v>138</v>
      </c>
      <c r="G34" s="115" t="s">
        <v>151</v>
      </c>
    </row>
    <row r="35" spans="1:7">
      <c r="A35" s="113" t="s">
        <v>121</v>
      </c>
      <c r="B35" s="113" t="s">
        <v>174</v>
      </c>
      <c r="C35" s="113" t="s">
        <v>136</v>
      </c>
      <c r="D35" s="113" t="s">
        <v>145</v>
      </c>
      <c r="E35" s="114"/>
      <c r="F35" s="114" t="s">
        <v>142</v>
      </c>
      <c r="G35" s="115"/>
    </row>
    <row r="36" spans="1:7">
      <c r="A36" s="113" t="s">
        <v>121</v>
      </c>
      <c r="B36" s="113" t="s">
        <v>175</v>
      </c>
      <c r="C36" s="113" t="s">
        <v>136</v>
      </c>
      <c r="D36" s="113" t="s">
        <v>145</v>
      </c>
      <c r="E36" s="114"/>
      <c r="F36" s="114" t="s">
        <v>142</v>
      </c>
      <c r="G36" s="115"/>
    </row>
    <row r="37" spans="1:7">
      <c r="A37" s="113" t="s">
        <v>121</v>
      </c>
      <c r="B37" s="113" t="s">
        <v>176</v>
      </c>
      <c r="C37" s="113" t="s">
        <v>136</v>
      </c>
      <c r="D37" s="113" t="s">
        <v>145</v>
      </c>
      <c r="E37" s="114"/>
      <c r="F37" s="114" t="s">
        <v>142</v>
      </c>
      <c r="G37" s="115"/>
    </row>
    <row r="38" spans="1:7">
      <c r="A38" s="113" t="s">
        <v>121</v>
      </c>
      <c r="B38" s="113" t="s">
        <v>177</v>
      </c>
      <c r="C38" s="113" t="s">
        <v>136</v>
      </c>
      <c r="D38" s="113" t="s">
        <v>145</v>
      </c>
      <c r="E38" s="114"/>
      <c r="F38" s="114" t="s">
        <v>142</v>
      </c>
      <c r="G38" s="115"/>
    </row>
    <row r="39" spans="1:7">
      <c r="A39" s="113" t="s">
        <v>121</v>
      </c>
      <c r="B39" s="113" t="s">
        <v>178</v>
      </c>
      <c r="C39" s="113" t="s">
        <v>136</v>
      </c>
      <c r="D39" s="113" t="s">
        <v>132</v>
      </c>
      <c r="E39" s="114"/>
      <c r="F39" s="114" t="s">
        <v>142</v>
      </c>
      <c r="G39" s="115"/>
    </row>
    <row r="40" spans="1:7">
      <c r="A40" s="113" t="s">
        <v>121</v>
      </c>
      <c r="B40" s="113" t="s">
        <v>179</v>
      </c>
      <c r="C40" s="113" t="s">
        <v>136</v>
      </c>
      <c r="D40" s="113" t="s">
        <v>132</v>
      </c>
      <c r="E40" s="114"/>
      <c r="F40" s="114" t="s">
        <v>142</v>
      </c>
      <c r="G40" s="115"/>
    </row>
    <row r="41" spans="1:7">
      <c r="A41" s="113" t="s">
        <v>121</v>
      </c>
      <c r="B41" s="113" t="s">
        <v>180</v>
      </c>
      <c r="C41" s="113" t="s">
        <v>136</v>
      </c>
      <c r="D41" s="113" t="s">
        <v>132</v>
      </c>
      <c r="E41" s="114"/>
      <c r="F41" s="114" t="s">
        <v>142</v>
      </c>
      <c r="G41" s="115"/>
    </row>
    <row r="42" spans="1:7">
      <c r="A42" s="113" t="s">
        <v>121</v>
      </c>
      <c r="B42" s="113" t="s">
        <v>181</v>
      </c>
      <c r="C42" s="113" t="s">
        <v>136</v>
      </c>
      <c r="D42" s="113" t="s">
        <v>162</v>
      </c>
      <c r="E42" s="114"/>
      <c r="F42" s="114" t="s">
        <v>138</v>
      </c>
      <c r="G42" s="115"/>
    </row>
    <row r="43" spans="1:7">
      <c r="A43" s="113" t="s">
        <v>121</v>
      </c>
      <c r="B43" s="113" t="s">
        <v>182</v>
      </c>
      <c r="C43" s="113" t="s">
        <v>136</v>
      </c>
      <c r="D43" s="113" t="s">
        <v>132</v>
      </c>
      <c r="E43" s="114"/>
      <c r="F43" s="114" t="s">
        <v>142</v>
      </c>
      <c r="G43" s="115"/>
    </row>
    <row r="44" spans="1:7">
      <c r="A44" s="113" t="s">
        <v>121</v>
      </c>
      <c r="B44" s="113" t="s">
        <v>183</v>
      </c>
      <c r="C44" s="113" t="s">
        <v>136</v>
      </c>
      <c r="D44" s="113" t="s">
        <v>132</v>
      </c>
      <c r="E44" s="114"/>
      <c r="F44" s="114" t="s">
        <v>142</v>
      </c>
      <c r="G44" s="115"/>
    </row>
    <row r="45" spans="1:7">
      <c r="A45" s="113" t="s">
        <v>121</v>
      </c>
      <c r="B45" s="113" t="s">
        <v>184</v>
      </c>
      <c r="C45" s="113" t="s">
        <v>136</v>
      </c>
      <c r="D45" s="113" t="s">
        <v>145</v>
      </c>
      <c r="E45" s="114" t="s">
        <v>185</v>
      </c>
      <c r="F45" s="114" t="s">
        <v>142</v>
      </c>
      <c r="G45" s="115"/>
    </row>
    <row r="46" spans="1:7">
      <c r="A46" s="113" t="s">
        <v>121</v>
      </c>
      <c r="B46" s="113" t="s">
        <v>186</v>
      </c>
      <c r="C46" s="113" t="s">
        <v>136</v>
      </c>
      <c r="D46" s="113" t="s">
        <v>145</v>
      </c>
      <c r="E46" s="114" t="s">
        <v>185</v>
      </c>
      <c r="F46" s="114" t="s">
        <v>142</v>
      </c>
      <c r="G46" s="115"/>
    </row>
    <row r="47" spans="1:7">
      <c r="A47" s="113" t="s">
        <v>121</v>
      </c>
      <c r="B47" s="113" t="s">
        <v>187</v>
      </c>
      <c r="C47" s="113" t="s">
        <v>136</v>
      </c>
      <c r="D47" s="113" t="s">
        <v>145</v>
      </c>
      <c r="E47" s="114" t="s">
        <v>185</v>
      </c>
      <c r="F47" s="114" t="s">
        <v>142</v>
      </c>
      <c r="G47" s="115"/>
    </row>
    <row r="48" spans="1:7">
      <c r="A48" s="113" t="s">
        <v>121</v>
      </c>
      <c r="B48" s="113" t="s">
        <v>188</v>
      </c>
      <c r="C48" s="113" t="s">
        <v>136</v>
      </c>
      <c r="D48" s="113" t="s">
        <v>145</v>
      </c>
      <c r="E48" s="114" t="s">
        <v>185</v>
      </c>
      <c r="F48" s="114" t="s">
        <v>142</v>
      </c>
      <c r="G48" s="115"/>
    </row>
    <row r="49" spans="1:7">
      <c r="A49" s="113" t="s">
        <v>121</v>
      </c>
      <c r="B49" s="113" t="s">
        <v>189</v>
      </c>
      <c r="C49" s="113" t="s">
        <v>136</v>
      </c>
      <c r="D49" s="113" t="s">
        <v>145</v>
      </c>
      <c r="E49" s="114" t="s">
        <v>185</v>
      </c>
      <c r="F49" s="114" t="s">
        <v>142</v>
      </c>
      <c r="G49" s="115"/>
    </row>
    <row r="50" spans="1:7">
      <c r="A50" s="113" t="s">
        <v>121</v>
      </c>
      <c r="B50" s="113" t="s">
        <v>190</v>
      </c>
      <c r="C50" s="113" t="s">
        <v>136</v>
      </c>
      <c r="D50" s="113" t="s">
        <v>162</v>
      </c>
      <c r="E50" s="114"/>
      <c r="F50" s="114" t="s">
        <v>138</v>
      </c>
      <c r="G50" s="115"/>
    </row>
    <row r="51" spans="1:7">
      <c r="A51" s="113" t="s">
        <v>121</v>
      </c>
      <c r="B51" s="113" t="s">
        <v>191</v>
      </c>
      <c r="C51" s="113" t="s">
        <v>136</v>
      </c>
      <c r="D51" s="113" t="s">
        <v>132</v>
      </c>
      <c r="E51" s="114"/>
      <c r="F51" s="114" t="s">
        <v>142</v>
      </c>
      <c r="G51" s="115"/>
    </row>
    <row r="52" spans="1:7">
      <c r="A52" s="113" t="s">
        <v>121</v>
      </c>
      <c r="B52" s="113" t="s">
        <v>192</v>
      </c>
      <c r="C52" s="113" t="s">
        <v>136</v>
      </c>
      <c r="D52" s="113" t="s">
        <v>145</v>
      </c>
      <c r="E52" s="114" t="s">
        <v>185</v>
      </c>
      <c r="F52" s="114" t="s">
        <v>142</v>
      </c>
      <c r="G52" s="115"/>
    </row>
    <row r="53" spans="1:7">
      <c r="A53" s="113" t="s">
        <v>121</v>
      </c>
      <c r="B53" s="113" t="s">
        <v>193</v>
      </c>
      <c r="C53" s="113" t="s">
        <v>136</v>
      </c>
      <c r="D53" s="113" t="s">
        <v>132</v>
      </c>
      <c r="E53" s="114" t="s">
        <v>185</v>
      </c>
      <c r="F53" s="114" t="s">
        <v>142</v>
      </c>
      <c r="G53" s="115"/>
    </row>
    <row r="54" spans="1:7">
      <c r="A54" s="113" t="s">
        <v>121</v>
      </c>
      <c r="B54" s="113" t="s">
        <v>194</v>
      </c>
      <c r="C54" s="113" t="s">
        <v>136</v>
      </c>
      <c r="D54" s="113" t="s">
        <v>145</v>
      </c>
      <c r="E54" s="114" t="s">
        <v>185</v>
      </c>
      <c r="F54" s="114" t="s">
        <v>142</v>
      </c>
      <c r="G54" s="115"/>
    </row>
    <row r="55" spans="1:7">
      <c r="A55" s="113" t="s">
        <v>121</v>
      </c>
      <c r="B55" s="113" t="s">
        <v>195</v>
      </c>
      <c r="C55" s="113" t="s">
        <v>136</v>
      </c>
      <c r="D55" s="113" t="s">
        <v>145</v>
      </c>
      <c r="E55" s="114" t="s">
        <v>185</v>
      </c>
      <c r="F55" s="114" t="s">
        <v>142</v>
      </c>
      <c r="G55" s="115"/>
    </row>
    <row r="56" spans="1:7">
      <c r="A56" s="113" t="s">
        <v>121</v>
      </c>
      <c r="B56" s="113" t="s">
        <v>196</v>
      </c>
      <c r="C56" s="113" t="s">
        <v>197</v>
      </c>
      <c r="D56" s="113" t="s">
        <v>132</v>
      </c>
      <c r="E56" s="114"/>
      <c r="F56" s="114" t="s">
        <v>142</v>
      </c>
      <c r="G56" s="115" t="s">
        <v>198</v>
      </c>
    </row>
    <row r="57" spans="1:7">
      <c r="A57" s="113" t="s">
        <v>121</v>
      </c>
      <c r="B57" s="113" t="s">
        <v>199</v>
      </c>
      <c r="C57" s="113" t="s">
        <v>197</v>
      </c>
      <c r="D57" s="113" t="s">
        <v>132</v>
      </c>
      <c r="E57" s="114"/>
      <c r="F57" s="114" t="s">
        <v>142</v>
      </c>
      <c r="G57" s="115" t="s">
        <v>198</v>
      </c>
    </row>
    <row r="58" spans="1:7">
      <c r="A58" s="113" t="s">
        <v>121</v>
      </c>
      <c r="B58" s="113" t="s">
        <v>200</v>
      </c>
      <c r="C58" s="113" t="s">
        <v>136</v>
      </c>
      <c r="D58" s="113" t="s">
        <v>150</v>
      </c>
      <c r="E58" s="114"/>
      <c r="F58" s="114" t="s">
        <v>138</v>
      </c>
      <c r="G58" s="115"/>
    </row>
    <row r="59" spans="1:7">
      <c r="A59" s="113" t="s">
        <v>121</v>
      </c>
      <c r="B59" s="113" t="s">
        <v>201</v>
      </c>
      <c r="C59" s="113" t="s">
        <v>136</v>
      </c>
      <c r="D59" s="113" t="s">
        <v>132</v>
      </c>
      <c r="E59" s="114"/>
      <c r="F59" s="114" t="s">
        <v>202</v>
      </c>
      <c r="G59" s="115"/>
    </row>
    <row r="60" spans="1:7">
      <c r="A60" s="113" t="s">
        <v>121</v>
      </c>
      <c r="B60" s="113" t="s">
        <v>203</v>
      </c>
      <c r="C60" s="113" t="s">
        <v>136</v>
      </c>
      <c r="D60" s="113" t="s">
        <v>132</v>
      </c>
      <c r="E60" s="114"/>
      <c r="F60" s="114" t="s">
        <v>202</v>
      </c>
      <c r="G60" s="115"/>
    </row>
    <row r="61" spans="1:7">
      <c r="A61" s="113" t="s">
        <v>121</v>
      </c>
      <c r="B61" s="113" t="s">
        <v>204</v>
      </c>
      <c r="C61" s="113" t="s">
        <v>136</v>
      </c>
      <c r="D61" s="113" t="s">
        <v>132</v>
      </c>
      <c r="E61" s="114"/>
      <c r="F61" s="114" t="s">
        <v>205</v>
      </c>
      <c r="G61" s="115"/>
    </row>
    <row r="62" spans="1:7">
      <c r="A62" s="113" t="s">
        <v>121</v>
      </c>
      <c r="B62" s="113" t="s">
        <v>206</v>
      </c>
      <c r="C62" s="113" t="s">
        <v>136</v>
      </c>
      <c r="D62" s="113" t="s">
        <v>145</v>
      </c>
      <c r="E62" s="114" t="s">
        <v>185</v>
      </c>
      <c r="F62" s="114" t="s">
        <v>142</v>
      </c>
      <c r="G62" s="115"/>
    </row>
    <row r="63" spans="1:7">
      <c r="A63" s="113" t="s">
        <v>121</v>
      </c>
      <c r="B63" s="113" t="s">
        <v>207</v>
      </c>
      <c r="C63" s="113" t="s">
        <v>136</v>
      </c>
      <c r="D63" s="113" t="s">
        <v>145</v>
      </c>
      <c r="E63" s="114" t="s">
        <v>185</v>
      </c>
      <c r="F63" s="114" t="s">
        <v>142</v>
      </c>
      <c r="G63" s="115"/>
    </row>
    <row r="64" spans="1:7">
      <c r="A64" s="113" t="s">
        <v>121</v>
      </c>
      <c r="B64" s="113" t="s">
        <v>208</v>
      </c>
      <c r="C64" s="113" t="s">
        <v>136</v>
      </c>
      <c r="D64" s="113" t="s">
        <v>145</v>
      </c>
      <c r="E64" s="114" t="s">
        <v>185</v>
      </c>
      <c r="F64" s="114" t="s">
        <v>142</v>
      </c>
      <c r="G64" s="115"/>
    </row>
    <row r="65" spans="1:7">
      <c r="A65" s="113" t="s">
        <v>121</v>
      </c>
      <c r="B65" s="113" t="s">
        <v>209</v>
      </c>
      <c r="C65" s="113" t="s">
        <v>197</v>
      </c>
      <c r="D65" s="113" t="s">
        <v>132</v>
      </c>
      <c r="E65" s="114"/>
      <c r="F65" s="114" t="s">
        <v>142</v>
      </c>
      <c r="G65" s="115" t="s">
        <v>198</v>
      </c>
    </row>
    <row r="66" spans="1:7">
      <c r="A66" s="113" t="s">
        <v>121</v>
      </c>
      <c r="B66" s="113" t="s">
        <v>210</v>
      </c>
      <c r="C66" s="113" t="s">
        <v>136</v>
      </c>
      <c r="D66" s="113" t="s">
        <v>211</v>
      </c>
      <c r="E66" s="114"/>
      <c r="F66" s="114" t="s">
        <v>138</v>
      </c>
      <c r="G66" s="115"/>
    </row>
    <row r="67" spans="1:7">
      <c r="A67" s="113" t="s">
        <v>121</v>
      </c>
      <c r="B67" s="113" t="s">
        <v>212</v>
      </c>
      <c r="C67" s="113" t="s">
        <v>136</v>
      </c>
      <c r="D67" s="113" t="s">
        <v>211</v>
      </c>
      <c r="E67" s="114"/>
      <c r="F67" s="114" t="s">
        <v>138</v>
      </c>
      <c r="G67" s="115"/>
    </row>
    <row r="68" spans="1:7">
      <c r="A68" s="113" t="s">
        <v>121</v>
      </c>
      <c r="B68" s="113" t="s">
        <v>213</v>
      </c>
      <c r="C68" s="113" t="s">
        <v>131</v>
      </c>
      <c r="D68" s="113" t="s">
        <v>211</v>
      </c>
      <c r="E68" s="114"/>
      <c r="F68" s="114" t="s">
        <v>138</v>
      </c>
      <c r="G68" s="115"/>
    </row>
    <row r="69" spans="1:7">
      <c r="A69" s="113" t="s">
        <v>121</v>
      </c>
      <c r="B69" s="113" t="s">
        <v>214</v>
      </c>
      <c r="C69" s="113" t="s">
        <v>131</v>
      </c>
      <c r="D69" s="113" t="s">
        <v>211</v>
      </c>
      <c r="E69" s="114"/>
      <c r="F69" s="114" t="s">
        <v>138</v>
      </c>
      <c r="G69" s="115"/>
    </row>
    <row r="70" spans="1:7">
      <c r="A70" s="113" t="s">
        <v>121</v>
      </c>
      <c r="B70" s="113" t="s">
        <v>215</v>
      </c>
      <c r="C70" s="113" t="s">
        <v>131</v>
      </c>
      <c r="D70" s="113" t="s">
        <v>211</v>
      </c>
      <c r="E70" s="114"/>
      <c r="F70" s="114" t="s">
        <v>138</v>
      </c>
      <c r="G70" s="115"/>
    </row>
    <row r="71" spans="1:7">
      <c r="A71" s="113" t="s">
        <v>121</v>
      </c>
      <c r="B71" s="113" t="s">
        <v>216</v>
      </c>
      <c r="C71" s="113" t="s">
        <v>136</v>
      </c>
      <c r="D71" s="113" t="s">
        <v>211</v>
      </c>
      <c r="E71" s="114" t="s">
        <v>561</v>
      </c>
      <c r="F71" s="114" t="s">
        <v>138</v>
      </c>
      <c r="G71" s="115"/>
    </row>
    <row r="72" spans="1:7">
      <c r="A72" s="113" t="s">
        <v>121</v>
      </c>
      <c r="B72" s="113" t="s">
        <v>217</v>
      </c>
      <c r="C72" s="113" t="s">
        <v>136</v>
      </c>
      <c r="D72" s="113" t="s">
        <v>150</v>
      </c>
      <c r="E72" s="114"/>
      <c r="F72" s="114" t="s">
        <v>138</v>
      </c>
      <c r="G72" s="115"/>
    </row>
    <row r="73" spans="1:7">
      <c r="A73" s="113" t="s">
        <v>121</v>
      </c>
      <c r="B73" s="113" t="s">
        <v>218</v>
      </c>
      <c r="C73" s="113" t="s">
        <v>136</v>
      </c>
      <c r="D73" s="113" t="s">
        <v>162</v>
      </c>
      <c r="E73" s="114"/>
      <c r="F73" s="114" t="s">
        <v>138</v>
      </c>
      <c r="G73" s="115"/>
    </row>
    <row r="74" spans="1:7">
      <c r="A74" s="113" t="s">
        <v>121</v>
      </c>
      <c r="B74" s="113" t="s">
        <v>219</v>
      </c>
      <c r="C74" s="113" t="s">
        <v>136</v>
      </c>
      <c r="D74" s="113" t="s">
        <v>162</v>
      </c>
      <c r="E74" s="114"/>
      <c r="F74" s="114" t="s">
        <v>138</v>
      </c>
      <c r="G74" s="115"/>
    </row>
    <row r="75" spans="1:7">
      <c r="A75" s="113" t="s">
        <v>121</v>
      </c>
      <c r="B75" s="113" t="s">
        <v>220</v>
      </c>
      <c r="C75" s="113" t="s">
        <v>136</v>
      </c>
      <c r="D75" s="113" t="s">
        <v>162</v>
      </c>
      <c r="E75" s="114"/>
      <c r="F75" s="114" t="s">
        <v>138</v>
      </c>
      <c r="G75" s="115"/>
    </row>
    <row r="76" spans="1:7">
      <c r="A76" s="113" t="s">
        <v>121</v>
      </c>
      <c r="B76" s="113" t="s">
        <v>221</v>
      </c>
      <c r="C76" s="113" t="s">
        <v>136</v>
      </c>
      <c r="D76" s="113" t="s">
        <v>162</v>
      </c>
      <c r="E76" s="114"/>
      <c r="F76" s="114" t="s">
        <v>138</v>
      </c>
      <c r="G76" s="115"/>
    </row>
    <row r="77" spans="1:7">
      <c r="A77" s="113" t="s">
        <v>121</v>
      </c>
      <c r="B77" s="113" t="s">
        <v>222</v>
      </c>
      <c r="C77" s="113" t="s">
        <v>141</v>
      </c>
      <c r="D77" s="113" t="s">
        <v>162</v>
      </c>
      <c r="E77" s="114"/>
      <c r="F77" s="114" t="s">
        <v>138</v>
      </c>
      <c r="G77" s="115"/>
    </row>
    <row r="78" spans="1:7">
      <c r="A78" s="113" t="s">
        <v>121</v>
      </c>
      <c r="B78" s="113" t="s">
        <v>223</v>
      </c>
      <c r="C78" s="113" t="s">
        <v>136</v>
      </c>
      <c r="D78" s="113" t="s">
        <v>162</v>
      </c>
      <c r="E78" s="114"/>
      <c r="F78" s="114" t="s">
        <v>138</v>
      </c>
      <c r="G78" s="115"/>
    </row>
    <row r="79" spans="1:7">
      <c r="A79" s="113" t="s">
        <v>121</v>
      </c>
      <c r="B79" s="113" t="s">
        <v>224</v>
      </c>
      <c r="C79" s="113" t="s">
        <v>136</v>
      </c>
      <c r="D79" s="113" t="s">
        <v>162</v>
      </c>
      <c r="E79" s="114"/>
      <c r="F79" s="114" t="s">
        <v>138</v>
      </c>
      <c r="G79" s="115"/>
    </row>
    <row r="80" spans="1:7">
      <c r="A80" s="113" t="s">
        <v>121</v>
      </c>
      <c r="B80" s="113" t="s">
        <v>225</v>
      </c>
      <c r="C80" s="113" t="s">
        <v>136</v>
      </c>
      <c r="D80" s="113" t="s">
        <v>211</v>
      </c>
      <c r="E80" s="114"/>
      <c r="F80" s="114" t="s">
        <v>138</v>
      </c>
      <c r="G80" s="115"/>
    </row>
    <row r="81" spans="1:7">
      <c r="A81" s="113" t="s">
        <v>121</v>
      </c>
      <c r="B81" s="113" t="s">
        <v>226</v>
      </c>
      <c r="C81" s="113" t="s">
        <v>136</v>
      </c>
      <c r="D81" s="113" t="s">
        <v>211</v>
      </c>
      <c r="E81" s="114"/>
      <c r="F81" s="114" t="s">
        <v>138</v>
      </c>
      <c r="G81" s="115"/>
    </row>
    <row r="82" spans="1:7">
      <c r="A82" s="113" t="s">
        <v>121</v>
      </c>
      <c r="B82" s="113" t="s">
        <v>227</v>
      </c>
      <c r="C82" s="113" t="s">
        <v>136</v>
      </c>
      <c r="D82" s="113" t="s">
        <v>162</v>
      </c>
      <c r="E82" s="114"/>
      <c r="F82" s="114" t="s">
        <v>138</v>
      </c>
      <c r="G82" s="115"/>
    </row>
    <row r="83" spans="1:7">
      <c r="A83" s="113" t="s">
        <v>121</v>
      </c>
      <c r="B83" s="113" t="s">
        <v>228</v>
      </c>
      <c r="C83" s="113" t="s">
        <v>136</v>
      </c>
      <c r="D83" s="113" t="s">
        <v>162</v>
      </c>
      <c r="E83" s="114"/>
      <c r="F83" s="114" t="s">
        <v>138</v>
      </c>
      <c r="G83" s="115"/>
    </row>
    <row r="84" spans="1:7">
      <c r="A84" s="113" t="s">
        <v>121</v>
      </c>
      <c r="B84" s="113" t="s">
        <v>229</v>
      </c>
      <c r="C84" s="113" t="s">
        <v>136</v>
      </c>
      <c r="D84" s="113" t="s">
        <v>150</v>
      </c>
      <c r="E84" s="114"/>
      <c r="F84" s="114" t="s">
        <v>138</v>
      </c>
      <c r="G84" s="115"/>
    </row>
    <row r="85" spans="1:7">
      <c r="A85" s="113" t="s">
        <v>121</v>
      </c>
      <c r="B85" s="113" t="s">
        <v>230</v>
      </c>
      <c r="C85" s="113" t="s">
        <v>136</v>
      </c>
      <c r="D85" s="113" t="s">
        <v>145</v>
      </c>
      <c r="E85" s="114"/>
      <c r="F85" s="114" t="s">
        <v>231</v>
      </c>
      <c r="G85" s="115"/>
    </row>
    <row r="86" spans="1:7">
      <c r="A86" s="113" t="s">
        <v>121</v>
      </c>
      <c r="B86" s="113" t="s">
        <v>232</v>
      </c>
      <c r="C86" s="113" t="s">
        <v>136</v>
      </c>
      <c r="D86" s="113" t="s">
        <v>145</v>
      </c>
      <c r="E86" s="114"/>
      <c r="F86" s="114" t="s">
        <v>142</v>
      </c>
      <c r="G86" s="115"/>
    </row>
    <row r="87" spans="1:7">
      <c r="A87" s="113" t="s">
        <v>121</v>
      </c>
      <c r="B87" s="113" t="s">
        <v>233</v>
      </c>
      <c r="C87" s="113" t="s">
        <v>136</v>
      </c>
      <c r="D87" s="113" t="s">
        <v>132</v>
      </c>
      <c r="E87" s="114"/>
      <c r="F87" s="114" t="s">
        <v>142</v>
      </c>
      <c r="G87" s="115"/>
    </row>
    <row r="88" spans="1:7">
      <c r="A88" s="113" t="s">
        <v>121</v>
      </c>
      <c r="B88" s="113" t="s">
        <v>234</v>
      </c>
      <c r="C88" s="113" t="s">
        <v>136</v>
      </c>
      <c r="D88" s="113" t="s">
        <v>132</v>
      </c>
      <c r="E88" s="114"/>
      <c r="F88" s="114" t="s">
        <v>142</v>
      </c>
      <c r="G88" s="115"/>
    </row>
    <row r="89" spans="1:7">
      <c r="A89" s="113" t="s">
        <v>121</v>
      </c>
      <c r="B89" s="113" t="s">
        <v>235</v>
      </c>
      <c r="C89" s="113" t="s">
        <v>136</v>
      </c>
      <c r="D89" s="113" t="s">
        <v>132</v>
      </c>
      <c r="E89" s="114"/>
      <c r="F89" s="114" t="s">
        <v>142</v>
      </c>
      <c r="G89" s="115"/>
    </row>
    <row r="90" spans="1:7">
      <c r="A90" s="113" t="s">
        <v>121</v>
      </c>
      <c r="B90" s="113" t="s">
        <v>236</v>
      </c>
      <c r="C90" s="113" t="s">
        <v>197</v>
      </c>
      <c r="D90" s="113" t="s">
        <v>132</v>
      </c>
      <c r="E90" s="114"/>
      <c r="F90" s="114" t="s">
        <v>142</v>
      </c>
      <c r="G90" s="115" t="s">
        <v>198</v>
      </c>
    </row>
    <row r="91" spans="1:7">
      <c r="A91" s="113" t="s">
        <v>121</v>
      </c>
      <c r="B91" s="113" t="s">
        <v>237</v>
      </c>
      <c r="C91" s="113" t="s">
        <v>136</v>
      </c>
      <c r="D91" s="113" t="s">
        <v>145</v>
      </c>
      <c r="E91" s="114" t="s">
        <v>238</v>
      </c>
      <c r="F91" s="114" t="s">
        <v>142</v>
      </c>
      <c r="G91" s="115"/>
    </row>
    <row r="92" spans="1:7">
      <c r="A92" s="113" t="s">
        <v>121</v>
      </c>
      <c r="B92" s="113" t="s">
        <v>239</v>
      </c>
      <c r="C92" s="113" t="s">
        <v>136</v>
      </c>
      <c r="D92" s="113" t="s">
        <v>162</v>
      </c>
      <c r="E92" s="114"/>
      <c r="F92" s="114" t="s">
        <v>138</v>
      </c>
      <c r="G92" s="115"/>
    </row>
    <row r="93" spans="1:7">
      <c r="A93" s="113" t="s">
        <v>121</v>
      </c>
      <c r="B93" s="113" t="s">
        <v>240</v>
      </c>
      <c r="C93" s="113" t="s">
        <v>141</v>
      </c>
      <c r="D93" s="113" t="s">
        <v>132</v>
      </c>
      <c r="E93" s="114" t="s">
        <v>241</v>
      </c>
      <c r="F93" s="114" t="s">
        <v>142</v>
      </c>
      <c r="G93" s="115" t="s">
        <v>242</v>
      </c>
    </row>
    <row r="94" spans="1:7">
      <c r="A94" s="113" t="s">
        <v>121</v>
      </c>
      <c r="B94" s="113" t="s">
        <v>243</v>
      </c>
      <c r="C94" s="113" t="s">
        <v>136</v>
      </c>
      <c r="D94" s="113" t="s">
        <v>132</v>
      </c>
      <c r="E94" s="114"/>
      <c r="F94" s="114" t="s">
        <v>142</v>
      </c>
      <c r="G94" s="115"/>
    </row>
    <row r="95" spans="1:7">
      <c r="A95" s="113" t="s">
        <v>121</v>
      </c>
      <c r="B95" s="113" t="s">
        <v>244</v>
      </c>
      <c r="C95" s="113" t="s">
        <v>136</v>
      </c>
      <c r="D95" s="113" t="s">
        <v>132</v>
      </c>
      <c r="E95" s="114"/>
      <c r="F95" s="114" t="s">
        <v>142</v>
      </c>
      <c r="G95" s="115"/>
    </row>
    <row r="96" spans="1:7">
      <c r="A96" s="113" t="s">
        <v>121</v>
      </c>
      <c r="B96" s="113" t="s">
        <v>245</v>
      </c>
      <c r="C96" s="113" t="s">
        <v>136</v>
      </c>
      <c r="D96" s="113" t="s">
        <v>132</v>
      </c>
      <c r="E96" s="114"/>
      <c r="F96" s="114" t="s">
        <v>142</v>
      </c>
      <c r="G96" s="115"/>
    </row>
    <row r="97" spans="1:7">
      <c r="A97" s="113" t="s">
        <v>121</v>
      </c>
      <c r="B97" s="113" t="s">
        <v>246</v>
      </c>
      <c r="C97" s="113" t="s">
        <v>136</v>
      </c>
      <c r="D97" s="113" t="s">
        <v>145</v>
      </c>
      <c r="E97" s="114" t="s">
        <v>185</v>
      </c>
      <c r="F97" s="114" t="s">
        <v>142</v>
      </c>
      <c r="G97" s="115"/>
    </row>
    <row r="98" spans="1:7">
      <c r="A98" s="113" t="s">
        <v>121</v>
      </c>
      <c r="B98" s="113" t="s">
        <v>247</v>
      </c>
      <c r="C98" s="113" t="s">
        <v>136</v>
      </c>
      <c r="D98" s="113" t="s">
        <v>145</v>
      </c>
      <c r="E98" s="114" t="s">
        <v>185</v>
      </c>
      <c r="F98" s="114" t="s">
        <v>142</v>
      </c>
      <c r="G98" s="115"/>
    </row>
    <row r="99" spans="1:7">
      <c r="A99" s="113" t="s">
        <v>121</v>
      </c>
      <c r="B99" s="113" t="s">
        <v>248</v>
      </c>
      <c r="C99" s="113" t="s">
        <v>136</v>
      </c>
      <c r="D99" s="113" t="s">
        <v>145</v>
      </c>
      <c r="E99" s="114" t="s">
        <v>185</v>
      </c>
      <c r="F99" s="114" t="s">
        <v>142</v>
      </c>
      <c r="G99" s="115"/>
    </row>
    <row r="100" spans="1:7">
      <c r="A100" s="113" t="s">
        <v>121</v>
      </c>
      <c r="B100" s="113" t="s">
        <v>249</v>
      </c>
      <c r="C100" s="113" t="s">
        <v>131</v>
      </c>
      <c r="D100" s="113" t="s">
        <v>132</v>
      </c>
      <c r="E100" s="114"/>
      <c r="F100" s="114" t="s">
        <v>142</v>
      </c>
      <c r="G100" s="115"/>
    </row>
    <row r="101" spans="1:7">
      <c r="A101" s="113" t="s">
        <v>121</v>
      </c>
      <c r="B101" s="113" t="s">
        <v>250</v>
      </c>
      <c r="C101" s="113" t="s">
        <v>136</v>
      </c>
      <c r="D101" s="113" t="s">
        <v>251</v>
      </c>
      <c r="E101" s="114" t="s">
        <v>252</v>
      </c>
      <c r="F101" s="114" t="s">
        <v>134</v>
      </c>
      <c r="G101" s="115"/>
    </row>
    <row r="102" spans="1:7">
      <c r="A102" s="113" t="s">
        <v>121</v>
      </c>
      <c r="B102" s="113" t="s">
        <v>253</v>
      </c>
      <c r="C102" s="113" t="s">
        <v>136</v>
      </c>
      <c r="D102" s="113" t="s">
        <v>132</v>
      </c>
      <c r="E102" s="114" t="s">
        <v>254</v>
      </c>
      <c r="F102" s="114" t="s">
        <v>142</v>
      </c>
      <c r="G102" s="115"/>
    </row>
    <row r="103" spans="1:7">
      <c r="A103" s="113" t="s">
        <v>121</v>
      </c>
      <c r="B103" s="113" t="s">
        <v>255</v>
      </c>
      <c r="C103" s="113" t="s">
        <v>136</v>
      </c>
      <c r="D103" s="113" t="s">
        <v>251</v>
      </c>
      <c r="E103" s="114" t="s">
        <v>254</v>
      </c>
      <c r="F103" s="114" t="s">
        <v>134</v>
      </c>
      <c r="G103" s="115"/>
    </row>
    <row r="104" spans="1:7">
      <c r="A104" s="113" t="s">
        <v>121</v>
      </c>
      <c r="B104" s="113" t="s">
        <v>256</v>
      </c>
      <c r="C104" s="113" t="s">
        <v>136</v>
      </c>
      <c r="D104" s="113" t="s">
        <v>251</v>
      </c>
      <c r="E104" s="114" t="s">
        <v>257</v>
      </c>
      <c r="F104" s="114" t="s">
        <v>138</v>
      </c>
      <c r="G104" s="115"/>
    </row>
    <row r="105" spans="1:7">
      <c r="A105" s="113" t="s">
        <v>121</v>
      </c>
      <c r="B105" s="113" t="s">
        <v>258</v>
      </c>
      <c r="C105" s="113" t="s">
        <v>136</v>
      </c>
      <c r="D105" s="113" t="s">
        <v>132</v>
      </c>
      <c r="E105" s="114" t="s">
        <v>252</v>
      </c>
      <c r="F105" s="114" t="s">
        <v>142</v>
      </c>
      <c r="G105" s="115"/>
    </row>
    <row r="106" spans="1:7">
      <c r="A106" s="113" t="s">
        <v>121</v>
      </c>
      <c r="B106" s="113" t="s">
        <v>259</v>
      </c>
      <c r="C106" s="113" t="s">
        <v>197</v>
      </c>
      <c r="D106" s="113" t="s">
        <v>132</v>
      </c>
      <c r="E106" s="114"/>
      <c r="F106" s="114" t="s">
        <v>142</v>
      </c>
      <c r="G106" s="115" t="s">
        <v>260</v>
      </c>
    </row>
    <row r="107" spans="1:7">
      <c r="A107" s="113" t="s">
        <v>121</v>
      </c>
      <c r="B107" s="113" t="s">
        <v>261</v>
      </c>
      <c r="C107" s="113" t="s">
        <v>197</v>
      </c>
      <c r="D107" s="113" t="s">
        <v>132</v>
      </c>
      <c r="E107" s="114"/>
      <c r="F107" s="114" t="s">
        <v>142</v>
      </c>
      <c r="G107" s="115" t="s">
        <v>260</v>
      </c>
    </row>
    <row r="108" spans="1:7">
      <c r="A108" s="113" t="s">
        <v>262</v>
      </c>
      <c r="B108" s="113" t="s">
        <v>263</v>
      </c>
      <c r="C108" s="113" t="s">
        <v>136</v>
      </c>
      <c r="D108" s="113" t="s">
        <v>132</v>
      </c>
      <c r="E108" s="114"/>
      <c r="F108" s="114" t="s">
        <v>142</v>
      </c>
      <c r="G108" s="115"/>
    </row>
    <row r="109" spans="1:7">
      <c r="A109" s="113" t="s">
        <v>262</v>
      </c>
      <c r="B109" s="113" t="s">
        <v>264</v>
      </c>
      <c r="C109" s="113" t="s">
        <v>136</v>
      </c>
      <c r="D109" s="113" t="s">
        <v>132</v>
      </c>
      <c r="E109" s="114"/>
      <c r="F109" s="114" t="s">
        <v>142</v>
      </c>
      <c r="G109" s="115"/>
    </row>
    <row r="110" spans="1:7">
      <c r="A110" s="113" t="s">
        <v>262</v>
      </c>
      <c r="B110" s="113" t="s">
        <v>265</v>
      </c>
      <c r="C110" s="113" t="s">
        <v>136</v>
      </c>
      <c r="D110" s="113" t="s">
        <v>145</v>
      </c>
      <c r="E110" s="114" t="s">
        <v>266</v>
      </c>
      <c r="F110" s="114" t="s">
        <v>142</v>
      </c>
      <c r="G110" s="115"/>
    </row>
    <row r="111" spans="1:7">
      <c r="A111" s="113" t="s">
        <v>262</v>
      </c>
      <c r="B111" s="113" t="s">
        <v>267</v>
      </c>
      <c r="C111" s="113" t="s">
        <v>136</v>
      </c>
      <c r="D111" s="113" t="s">
        <v>145</v>
      </c>
      <c r="E111" s="114" t="s">
        <v>266</v>
      </c>
      <c r="F111" s="114" t="s">
        <v>142</v>
      </c>
      <c r="G111" s="115"/>
    </row>
    <row r="112" spans="1:7">
      <c r="A112" s="113" t="s">
        <v>262</v>
      </c>
      <c r="B112" s="113" t="s">
        <v>268</v>
      </c>
      <c r="C112" s="113" t="s">
        <v>197</v>
      </c>
      <c r="D112" s="113" t="s">
        <v>132</v>
      </c>
      <c r="E112" s="114"/>
      <c r="F112" s="114" t="s">
        <v>142</v>
      </c>
      <c r="G112" s="115" t="s">
        <v>198</v>
      </c>
    </row>
    <row r="113" spans="1:7">
      <c r="A113" s="113" t="s">
        <v>262</v>
      </c>
      <c r="B113" s="113" t="s">
        <v>269</v>
      </c>
      <c r="C113" s="113" t="s">
        <v>197</v>
      </c>
      <c r="D113" s="113" t="s">
        <v>132</v>
      </c>
      <c r="E113" s="114"/>
      <c r="F113" s="114" t="s">
        <v>142</v>
      </c>
      <c r="G113" s="115" t="s">
        <v>198</v>
      </c>
    </row>
    <row r="114" spans="1:7">
      <c r="A114" s="113" t="s">
        <v>262</v>
      </c>
      <c r="B114" s="113" t="s">
        <v>270</v>
      </c>
      <c r="C114" s="113" t="s">
        <v>136</v>
      </c>
      <c r="D114" s="113" t="s">
        <v>145</v>
      </c>
      <c r="E114" s="114"/>
      <c r="F114" s="114" t="s">
        <v>142</v>
      </c>
      <c r="G114" s="115"/>
    </row>
    <row r="115" spans="1:7">
      <c r="A115" s="113" t="s">
        <v>262</v>
      </c>
      <c r="B115" s="113" t="s">
        <v>271</v>
      </c>
      <c r="C115" s="113" t="s">
        <v>136</v>
      </c>
      <c r="D115" s="113" t="s">
        <v>132</v>
      </c>
      <c r="E115" s="114"/>
      <c r="F115" s="114" t="s">
        <v>134</v>
      </c>
      <c r="G115" s="115"/>
    </row>
    <row r="116" spans="1:7">
      <c r="A116" s="113" t="s">
        <v>262</v>
      </c>
      <c r="B116" s="113" t="s">
        <v>272</v>
      </c>
      <c r="C116" s="113" t="s">
        <v>136</v>
      </c>
      <c r="D116" s="113" t="s">
        <v>145</v>
      </c>
      <c r="E116" s="114" t="s">
        <v>266</v>
      </c>
      <c r="F116" s="114" t="s">
        <v>142</v>
      </c>
      <c r="G116" s="115"/>
    </row>
    <row r="117" spans="1:7">
      <c r="A117" s="113" t="s">
        <v>262</v>
      </c>
      <c r="B117" s="113" t="s">
        <v>273</v>
      </c>
      <c r="C117" s="113" t="s">
        <v>136</v>
      </c>
      <c r="D117" s="113" t="s">
        <v>145</v>
      </c>
      <c r="E117" s="114" t="s">
        <v>266</v>
      </c>
      <c r="F117" s="114" t="s">
        <v>142</v>
      </c>
      <c r="G117" s="115"/>
    </row>
    <row r="118" spans="1:7">
      <c r="A118" s="113" t="s">
        <v>262</v>
      </c>
      <c r="B118" s="113" t="s">
        <v>274</v>
      </c>
      <c r="C118" s="113" t="s">
        <v>136</v>
      </c>
      <c r="D118" s="113" t="s">
        <v>132</v>
      </c>
      <c r="E118" s="114"/>
      <c r="F118" s="114" t="s">
        <v>142</v>
      </c>
      <c r="G118" s="115"/>
    </row>
    <row r="119" spans="1:7">
      <c r="A119" s="113" t="s">
        <v>262</v>
      </c>
      <c r="B119" s="113" t="s">
        <v>275</v>
      </c>
      <c r="C119" s="113" t="s">
        <v>136</v>
      </c>
      <c r="D119" s="113" t="s">
        <v>162</v>
      </c>
      <c r="E119" s="114"/>
      <c r="F119" s="114" t="s">
        <v>138</v>
      </c>
      <c r="G119" s="115"/>
    </row>
    <row r="120" spans="1:7">
      <c r="A120" s="113" t="s">
        <v>262</v>
      </c>
      <c r="B120" s="113" t="s">
        <v>276</v>
      </c>
      <c r="C120" s="113" t="s">
        <v>136</v>
      </c>
      <c r="D120" s="113" t="s">
        <v>145</v>
      </c>
      <c r="E120" s="114" t="s">
        <v>185</v>
      </c>
      <c r="F120" s="114" t="s">
        <v>142</v>
      </c>
      <c r="G120" s="115"/>
    </row>
    <row r="121" spans="1:7">
      <c r="A121" s="113" t="s">
        <v>262</v>
      </c>
      <c r="B121" s="113" t="s">
        <v>277</v>
      </c>
      <c r="C121" s="113" t="s">
        <v>136</v>
      </c>
      <c r="D121" s="113" t="s">
        <v>145</v>
      </c>
      <c r="E121" s="114" t="s">
        <v>185</v>
      </c>
      <c r="F121" s="114" t="s">
        <v>142</v>
      </c>
      <c r="G121" s="115"/>
    </row>
    <row r="122" spans="1:7">
      <c r="A122" s="113" t="s">
        <v>262</v>
      </c>
      <c r="B122" s="113" t="s">
        <v>278</v>
      </c>
      <c r="C122" s="113" t="s">
        <v>136</v>
      </c>
      <c r="D122" s="113" t="s">
        <v>145</v>
      </c>
      <c r="E122" s="114" t="s">
        <v>185</v>
      </c>
      <c r="F122" s="114" t="s">
        <v>142</v>
      </c>
      <c r="G122" s="115"/>
    </row>
    <row r="123" spans="1:7">
      <c r="A123" s="113" t="s">
        <v>262</v>
      </c>
      <c r="B123" s="113" t="s">
        <v>279</v>
      </c>
      <c r="C123" s="113" t="s">
        <v>136</v>
      </c>
      <c r="D123" s="113" t="s">
        <v>145</v>
      </c>
      <c r="E123" s="114" t="s">
        <v>185</v>
      </c>
      <c r="F123" s="114" t="s">
        <v>142</v>
      </c>
      <c r="G123" s="115"/>
    </row>
    <row r="124" spans="1:7">
      <c r="A124" s="113" t="s">
        <v>262</v>
      </c>
      <c r="B124" s="113" t="s">
        <v>280</v>
      </c>
      <c r="C124" s="113" t="s">
        <v>136</v>
      </c>
      <c r="D124" s="113" t="s">
        <v>145</v>
      </c>
      <c r="E124" s="114" t="s">
        <v>185</v>
      </c>
      <c r="F124" s="114" t="s">
        <v>142</v>
      </c>
      <c r="G124" s="115"/>
    </row>
    <row r="125" spans="1:7">
      <c r="A125" s="113" t="s">
        <v>262</v>
      </c>
      <c r="B125" s="113" t="s">
        <v>281</v>
      </c>
      <c r="C125" s="113" t="s">
        <v>136</v>
      </c>
      <c r="D125" s="113" t="s">
        <v>145</v>
      </c>
      <c r="E125" s="114" t="s">
        <v>185</v>
      </c>
      <c r="F125" s="114" t="s">
        <v>142</v>
      </c>
      <c r="G125" s="115"/>
    </row>
    <row r="126" spans="1:7">
      <c r="A126" s="113" t="s">
        <v>262</v>
      </c>
      <c r="B126" s="113" t="s">
        <v>282</v>
      </c>
      <c r="C126" s="113" t="s">
        <v>136</v>
      </c>
      <c r="D126" s="113" t="s">
        <v>145</v>
      </c>
      <c r="E126" s="114" t="s">
        <v>185</v>
      </c>
      <c r="F126" s="114" t="s">
        <v>142</v>
      </c>
      <c r="G126" s="115"/>
    </row>
    <row r="127" spans="1:7">
      <c r="A127" s="113" t="s">
        <v>262</v>
      </c>
      <c r="B127" s="113" t="s">
        <v>283</v>
      </c>
      <c r="C127" s="113" t="s">
        <v>136</v>
      </c>
      <c r="D127" s="113" t="s">
        <v>145</v>
      </c>
      <c r="E127" s="114" t="s">
        <v>185</v>
      </c>
      <c r="F127" s="114" t="s">
        <v>142</v>
      </c>
      <c r="G127" s="115"/>
    </row>
    <row r="128" spans="1:7">
      <c r="A128" s="113" t="s">
        <v>262</v>
      </c>
      <c r="B128" s="113" t="s">
        <v>284</v>
      </c>
      <c r="C128" s="113" t="s">
        <v>136</v>
      </c>
      <c r="D128" s="113" t="s">
        <v>132</v>
      </c>
      <c r="E128" s="114" t="s">
        <v>185</v>
      </c>
      <c r="F128" s="114" t="s">
        <v>142</v>
      </c>
      <c r="G128" s="115"/>
    </row>
    <row r="129" spans="1:7">
      <c r="A129" s="113" t="s">
        <v>262</v>
      </c>
      <c r="B129" s="113" t="s">
        <v>285</v>
      </c>
      <c r="C129" s="113" t="s">
        <v>136</v>
      </c>
      <c r="D129" s="113" t="s">
        <v>132</v>
      </c>
      <c r="E129" s="114" t="s">
        <v>185</v>
      </c>
      <c r="F129" s="114" t="s">
        <v>142</v>
      </c>
      <c r="G129" s="115"/>
    </row>
    <row r="130" spans="1:7">
      <c r="A130" s="113" t="s">
        <v>262</v>
      </c>
      <c r="B130" s="113" t="s">
        <v>286</v>
      </c>
      <c r="C130" s="113" t="s">
        <v>136</v>
      </c>
      <c r="D130" s="113" t="s">
        <v>145</v>
      </c>
      <c r="E130" s="114" t="s">
        <v>185</v>
      </c>
      <c r="F130" s="114" t="s">
        <v>142</v>
      </c>
      <c r="G130" s="115"/>
    </row>
    <row r="131" spans="1:7">
      <c r="A131" s="113" t="s">
        <v>262</v>
      </c>
      <c r="B131" s="113" t="s">
        <v>287</v>
      </c>
      <c r="C131" s="113" t="s">
        <v>136</v>
      </c>
      <c r="D131" s="113" t="s">
        <v>145</v>
      </c>
      <c r="E131" s="114" t="s">
        <v>185</v>
      </c>
      <c r="F131" s="114" t="s">
        <v>142</v>
      </c>
      <c r="G131" s="115"/>
    </row>
    <row r="132" spans="1:7">
      <c r="A132" s="113" t="s">
        <v>262</v>
      </c>
      <c r="B132" s="113" t="s">
        <v>288</v>
      </c>
      <c r="C132" s="113" t="s">
        <v>136</v>
      </c>
      <c r="D132" s="113" t="s">
        <v>251</v>
      </c>
      <c r="E132" s="114"/>
      <c r="F132" s="114" t="s">
        <v>289</v>
      </c>
      <c r="G132" s="115"/>
    </row>
    <row r="133" spans="1:7">
      <c r="A133" s="113" t="s">
        <v>262</v>
      </c>
      <c r="B133" s="113" t="s">
        <v>290</v>
      </c>
      <c r="C133" s="113" t="s">
        <v>136</v>
      </c>
      <c r="D133" s="113" t="s">
        <v>145</v>
      </c>
      <c r="E133" s="114" t="s">
        <v>185</v>
      </c>
      <c r="F133" s="114" t="s">
        <v>142</v>
      </c>
      <c r="G133" s="115"/>
    </row>
    <row r="134" spans="1:7">
      <c r="A134" s="113" t="s">
        <v>262</v>
      </c>
      <c r="B134" s="113" t="s">
        <v>291</v>
      </c>
      <c r="C134" s="113" t="s">
        <v>136</v>
      </c>
      <c r="D134" s="113" t="s">
        <v>145</v>
      </c>
      <c r="E134" s="114" t="s">
        <v>185</v>
      </c>
      <c r="F134" s="114" t="s">
        <v>142</v>
      </c>
      <c r="G134" s="115"/>
    </row>
    <row r="135" spans="1:7">
      <c r="A135" s="113" t="s">
        <v>262</v>
      </c>
      <c r="B135" s="113" t="s">
        <v>292</v>
      </c>
      <c r="C135" s="113" t="s">
        <v>136</v>
      </c>
      <c r="D135" s="113" t="s">
        <v>145</v>
      </c>
      <c r="E135" s="114" t="s">
        <v>185</v>
      </c>
      <c r="F135" s="114" t="s">
        <v>142</v>
      </c>
      <c r="G135" s="115"/>
    </row>
    <row r="136" spans="1:7">
      <c r="A136" s="113" t="s">
        <v>262</v>
      </c>
      <c r="B136" s="113" t="s">
        <v>293</v>
      </c>
      <c r="C136" s="113" t="s">
        <v>136</v>
      </c>
      <c r="D136" s="113" t="s">
        <v>145</v>
      </c>
      <c r="E136" s="114" t="s">
        <v>185</v>
      </c>
      <c r="F136" s="114" t="s">
        <v>142</v>
      </c>
      <c r="G136" s="115"/>
    </row>
    <row r="137" spans="1:7">
      <c r="A137" s="113" t="s">
        <v>262</v>
      </c>
      <c r="B137" s="113" t="s">
        <v>294</v>
      </c>
      <c r="C137" s="113" t="s">
        <v>136</v>
      </c>
      <c r="D137" s="113" t="s">
        <v>145</v>
      </c>
      <c r="E137" s="114" t="s">
        <v>185</v>
      </c>
      <c r="F137" s="114" t="s">
        <v>142</v>
      </c>
      <c r="G137" s="115"/>
    </row>
    <row r="138" spans="1:7">
      <c r="A138" s="113" t="s">
        <v>262</v>
      </c>
      <c r="B138" s="113" t="s">
        <v>295</v>
      </c>
      <c r="C138" s="113" t="s">
        <v>136</v>
      </c>
      <c r="D138" s="113" t="s">
        <v>145</v>
      </c>
      <c r="E138" s="114" t="s">
        <v>185</v>
      </c>
      <c r="F138" s="114" t="s">
        <v>142</v>
      </c>
      <c r="G138" s="115"/>
    </row>
    <row r="139" spans="1:7">
      <c r="A139" s="113" t="s">
        <v>262</v>
      </c>
      <c r="B139" s="113" t="s">
        <v>296</v>
      </c>
      <c r="C139" s="113" t="s">
        <v>136</v>
      </c>
      <c r="D139" s="113" t="s">
        <v>145</v>
      </c>
      <c r="E139" s="114" t="s">
        <v>185</v>
      </c>
      <c r="F139" s="114" t="s">
        <v>142</v>
      </c>
      <c r="G139" s="115"/>
    </row>
    <row r="140" spans="1:7">
      <c r="A140" s="113" t="s">
        <v>262</v>
      </c>
      <c r="B140" s="113" t="s">
        <v>297</v>
      </c>
      <c r="C140" s="113" t="s">
        <v>136</v>
      </c>
      <c r="D140" s="113" t="s">
        <v>145</v>
      </c>
      <c r="E140" s="114" t="s">
        <v>185</v>
      </c>
      <c r="F140" s="114" t="s">
        <v>142</v>
      </c>
      <c r="G140" s="115"/>
    </row>
    <row r="141" spans="1:7">
      <c r="A141" s="113" t="s">
        <v>262</v>
      </c>
      <c r="B141" s="113" t="s">
        <v>298</v>
      </c>
      <c r="C141" s="113" t="s">
        <v>136</v>
      </c>
      <c r="D141" s="113" t="s">
        <v>145</v>
      </c>
      <c r="E141" s="114" t="s">
        <v>185</v>
      </c>
      <c r="F141" s="114" t="s">
        <v>142</v>
      </c>
      <c r="G141" s="115"/>
    </row>
    <row r="142" spans="1:7">
      <c r="A142" s="113" t="s">
        <v>262</v>
      </c>
      <c r="B142" s="113" t="s">
        <v>299</v>
      </c>
      <c r="C142" s="113" t="s">
        <v>136</v>
      </c>
      <c r="D142" s="113" t="s">
        <v>145</v>
      </c>
      <c r="E142" s="114" t="s">
        <v>185</v>
      </c>
      <c r="F142" s="114" t="s">
        <v>142</v>
      </c>
      <c r="G142" s="115"/>
    </row>
    <row r="143" spans="1:7">
      <c r="A143" s="113" t="s">
        <v>262</v>
      </c>
      <c r="B143" s="113" t="s">
        <v>300</v>
      </c>
      <c r="C143" s="113" t="s">
        <v>136</v>
      </c>
      <c r="D143" s="113" t="s">
        <v>145</v>
      </c>
      <c r="E143" s="114" t="s">
        <v>185</v>
      </c>
      <c r="F143" s="114" t="s">
        <v>142</v>
      </c>
      <c r="G143" s="115"/>
    </row>
    <row r="144" spans="1:7">
      <c r="A144" s="113" t="s">
        <v>262</v>
      </c>
      <c r="B144" s="113" t="s">
        <v>301</v>
      </c>
      <c r="C144" s="113" t="s">
        <v>136</v>
      </c>
      <c r="D144" s="113" t="s">
        <v>145</v>
      </c>
      <c r="E144" s="114" t="s">
        <v>185</v>
      </c>
      <c r="F144" s="114" t="s">
        <v>142</v>
      </c>
      <c r="G144" s="115"/>
    </row>
    <row r="145" spans="1:7">
      <c r="A145" s="113" t="s">
        <v>262</v>
      </c>
      <c r="B145" s="113" t="s">
        <v>302</v>
      </c>
      <c r="C145" s="113" t="s">
        <v>136</v>
      </c>
      <c r="D145" s="113" t="s">
        <v>145</v>
      </c>
      <c r="E145" s="114" t="s">
        <v>185</v>
      </c>
      <c r="F145" s="114" t="s">
        <v>142</v>
      </c>
      <c r="G145" s="115"/>
    </row>
    <row r="146" spans="1:7">
      <c r="A146" s="113" t="s">
        <v>262</v>
      </c>
      <c r="B146" s="113" t="s">
        <v>303</v>
      </c>
      <c r="C146" s="113" t="s">
        <v>136</v>
      </c>
      <c r="D146" s="113" t="s">
        <v>145</v>
      </c>
      <c r="E146" s="114" t="s">
        <v>185</v>
      </c>
      <c r="F146" s="114" t="s">
        <v>138</v>
      </c>
      <c r="G146" s="115"/>
    </row>
    <row r="147" spans="1:7">
      <c r="A147" s="113" t="s">
        <v>262</v>
      </c>
      <c r="B147" s="113" t="s">
        <v>304</v>
      </c>
      <c r="C147" s="113" t="s">
        <v>136</v>
      </c>
      <c r="D147" s="113" t="s">
        <v>211</v>
      </c>
      <c r="E147" s="114"/>
      <c r="F147" s="114" t="s">
        <v>138</v>
      </c>
      <c r="G147" s="115"/>
    </row>
    <row r="148" spans="1:7">
      <c r="A148" s="113" t="s">
        <v>262</v>
      </c>
      <c r="B148" s="113" t="s">
        <v>305</v>
      </c>
      <c r="C148" s="113" t="s">
        <v>136</v>
      </c>
      <c r="D148" s="113" t="s">
        <v>211</v>
      </c>
      <c r="E148" s="114"/>
      <c r="F148" s="114" t="s">
        <v>138</v>
      </c>
      <c r="G148" s="115"/>
    </row>
    <row r="149" spans="1:7">
      <c r="A149" s="113" t="s">
        <v>262</v>
      </c>
      <c r="B149" s="113" t="s">
        <v>306</v>
      </c>
      <c r="C149" s="113" t="s">
        <v>136</v>
      </c>
      <c r="D149" s="113" t="s">
        <v>162</v>
      </c>
      <c r="E149" s="114"/>
      <c r="F149" s="114" t="s">
        <v>138</v>
      </c>
      <c r="G149" s="115"/>
    </row>
    <row r="150" spans="1:7">
      <c r="A150" s="113" t="s">
        <v>262</v>
      </c>
      <c r="B150" s="113" t="s">
        <v>307</v>
      </c>
      <c r="C150" s="113" t="s">
        <v>136</v>
      </c>
      <c r="D150" s="113" t="s">
        <v>162</v>
      </c>
      <c r="E150" s="114"/>
      <c r="F150" s="114" t="s">
        <v>138</v>
      </c>
      <c r="G150" s="115"/>
    </row>
    <row r="151" spans="1:7">
      <c r="A151" s="113" t="s">
        <v>262</v>
      </c>
      <c r="B151" s="113" t="s">
        <v>308</v>
      </c>
      <c r="C151" s="113" t="s">
        <v>136</v>
      </c>
      <c r="D151" s="113" t="s">
        <v>162</v>
      </c>
      <c r="E151" s="114"/>
      <c r="F151" s="114" t="s">
        <v>138</v>
      </c>
      <c r="G151" s="115"/>
    </row>
    <row r="152" spans="1:7">
      <c r="A152" s="113" t="s">
        <v>262</v>
      </c>
      <c r="B152" s="113" t="s">
        <v>309</v>
      </c>
      <c r="C152" s="113" t="s">
        <v>136</v>
      </c>
      <c r="D152" s="113" t="s">
        <v>150</v>
      </c>
      <c r="E152" s="114"/>
      <c r="F152" s="114" t="s">
        <v>138</v>
      </c>
      <c r="G152" s="115"/>
    </row>
    <row r="153" spans="1:7">
      <c r="A153" s="113" t="s">
        <v>262</v>
      </c>
      <c r="B153" s="113" t="s">
        <v>310</v>
      </c>
      <c r="C153" s="113" t="s">
        <v>136</v>
      </c>
      <c r="D153" s="113" t="s">
        <v>150</v>
      </c>
      <c r="E153" s="114"/>
      <c r="F153" s="114" t="s">
        <v>138</v>
      </c>
      <c r="G153" s="115"/>
    </row>
    <row r="154" spans="1:7">
      <c r="A154" s="113" t="s">
        <v>262</v>
      </c>
      <c r="B154" s="113" t="s">
        <v>311</v>
      </c>
      <c r="C154" s="113" t="s">
        <v>136</v>
      </c>
      <c r="D154" s="113" t="s">
        <v>150</v>
      </c>
      <c r="E154" s="114"/>
      <c r="F154" s="114" t="s">
        <v>138</v>
      </c>
      <c r="G154" s="115"/>
    </row>
    <row r="155" spans="1:7">
      <c r="A155" s="113" t="s">
        <v>262</v>
      </c>
      <c r="B155" s="113" t="s">
        <v>312</v>
      </c>
      <c r="C155" s="113" t="s">
        <v>136</v>
      </c>
      <c r="D155" s="113" t="s">
        <v>150</v>
      </c>
      <c r="E155" s="114"/>
      <c r="F155" s="114" t="s">
        <v>138</v>
      </c>
      <c r="G155" s="115"/>
    </row>
    <row r="156" spans="1:7">
      <c r="A156" s="113" t="s">
        <v>262</v>
      </c>
      <c r="B156" s="113" t="s">
        <v>313</v>
      </c>
      <c r="C156" s="113" t="s">
        <v>136</v>
      </c>
      <c r="D156" s="113" t="s">
        <v>150</v>
      </c>
      <c r="E156" s="114"/>
      <c r="F156" s="114" t="s">
        <v>138</v>
      </c>
      <c r="G156" s="115"/>
    </row>
    <row r="157" spans="1:7">
      <c r="A157" s="113" t="s">
        <v>262</v>
      </c>
      <c r="B157" s="113" t="s">
        <v>314</v>
      </c>
      <c r="C157" s="113" t="s">
        <v>136</v>
      </c>
      <c r="D157" s="113" t="s">
        <v>150</v>
      </c>
      <c r="E157" s="114"/>
      <c r="F157" s="114" t="s">
        <v>138</v>
      </c>
      <c r="G157" s="115"/>
    </row>
    <row r="158" spans="1:7">
      <c r="A158" s="113" t="s">
        <v>262</v>
      </c>
      <c r="B158" s="113" t="s">
        <v>315</v>
      </c>
      <c r="C158" s="113" t="s">
        <v>136</v>
      </c>
      <c r="D158" s="113" t="s">
        <v>211</v>
      </c>
      <c r="E158" s="114"/>
      <c r="F158" s="114" t="s">
        <v>138</v>
      </c>
      <c r="G158" s="115"/>
    </row>
    <row r="159" spans="1:7">
      <c r="A159" s="113" t="s">
        <v>262</v>
      </c>
      <c r="B159" s="113" t="s">
        <v>316</v>
      </c>
      <c r="C159" s="113" t="s">
        <v>136</v>
      </c>
      <c r="D159" s="113" t="s">
        <v>162</v>
      </c>
      <c r="E159" s="114"/>
      <c r="F159" s="114" t="s">
        <v>138</v>
      </c>
      <c r="G159" s="115"/>
    </row>
    <row r="160" spans="1:7">
      <c r="A160" s="113" t="s">
        <v>262</v>
      </c>
      <c r="B160" s="113" t="s">
        <v>317</v>
      </c>
      <c r="C160" s="113" t="s">
        <v>136</v>
      </c>
      <c r="D160" s="113" t="s">
        <v>162</v>
      </c>
      <c r="E160" s="114"/>
      <c r="F160" s="114" t="s">
        <v>138</v>
      </c>
      <c r="G160" s="115"/>
    </row>
    <row r="161" spans="1:7">
      <c r="A161" s="113" t="s">
        <v>262</v>
      </c>
      <c r="B161" s="113" t="s">
        <v>318</v>
      </c>
      <c r="C161" s="113" t="s">
        <v>136</v>
      </c>
      <c r="D161" s="113" t="s">
        <v>162</v>
      </c>
      <c r="E161" s="114"/>
      <c r="F161" s="114" t="s">
        <v>138</v>
      </c>
      <c r="G161" s="115"/>
    </row>
    <row r="162" spans="1:7">
      <c r="A162" s="113" t="s">
        <v>262</v>
      </c>
      <c r="B162" s="113" t="s">
        <v>319</v>
      </c>
      <c r="C162" s="113" t="s">
        <v>136</v>
      </c>
      <c r="D162" s="113" t="s">
        <v>132</v>
      </c>
      <c r="E162" s="114"/>
      <c r="F162" s="114" t="s">
        <v>142</v>
      </c>
      <c r="G162" s="115"/>
    </row>
    <row r="163" spans="1:7">
      <c r="A163" s="113" t="s">
        <v>262</v>
      </c>
      <c r="B163" s="113" t="s">
        <v>320</v>
      </c>
      <c r="C163" s="113" t="s">
        <v>136</v>
      </c>
      <c r="D163" s="113" t="s">
        <v>150</v>
      </c>
      <c r="E163" s="114"/>
      <c r="F163" s="114" t="s">
        <v>138</v>
      </c>
      <c r="G163" s="115"/>
    </row>
    <row r="164" spans="1:7">
      <c r="A164" s="113" t="s">
        <v>262</v>
      </c>
      <c r="B164" s="113" t="s">
        <v>321</v>
      </c>
      <c r="C164" s="113" t="s">
        <v>136</v>
      </c>
      <c r="D164" s="113" t="s">
        <v>162</v>
      </c>
      <c r="E164" s="114"/>
      <c r="F164" s="114" t="s">
        <v>138</v>
      </c>
      <c r="G164" s="115"/>
    </row>
    <row r="165" spans="1:7">
      <c r="A165" s="113" t="s">
        <v>262</v>
      </c>
      <c r="B165" s="113" t="s">
        <v>322</v>
      </c>
      <c r="C165" s="113" t="s">
        <v>136</v>
      </c>
      <c r="D165" s="113" t="s">
        <v>150</v>
      </c>
      <c r="E165" s="114"/>
      <c r="F165" s="114" t="s">
        <v>138</v>
      </c>
      <c r="G165" s="115"/>
    </row>
    <row r="166" spans="1:7">
      <c r="A166" s="113" t="s">
        <v>262</v>
      </c>
      <c r="B166" s="113" t="s">
        <v>323</v>
      </c>
      <c r="C166" s="113" t="s">
        <v>136</v>
      </c>
      <c r="D166" s="113" t="s">
        <v>150</v>
      </c>
      <c r="E166" s="114"/>
      <c r="F166" s="114" t="s">
        <v>138</v>
      </c>
      <c r="G166" s="115"/>
    </row>
    <row r="167" spans="1:7">
      <c r="A167" s="113" t="s">
        <v>262</v>
      </c>
      <c r="B167" s="113" t="s">
        <v>324</v>
      </c>
      <c r="C167" s="113" t="s">
        <v>136</v>
      </c>
      <c r="D167" s="113" t="s">
        <v>150</v>
      </c>
      <c r="E167" s="114"/>
      <c r="F167" s="114" t="s">
        <v>138</v>
      </c>
      <c r="G167" s="115"/>
    </row>
    <row r="168" spans="1:7">
      <c r="A168" s="113" t="s">
        <v>262</v>
      </c>
      <c r="B168" s="113" t="s">
        <v>325</v>
      </c>
      <c r="C168" s="113" t="s">
        <v>136</v>
      </c>
      <c r="D168" s="113" t="s">
        <v>150</v>
      </c>
      <c r="E168" s="114"/>
      <c r="F168" s="114" t="s">
        <v>138</v>
      </c>
      <c r="G168" s="115"/>
    </row>
    <row r="169" spans="1:7">
      <c r="A169" s="113" t="s">
        <v>262</v>
      </c>
      <c r="B169" s="113" t="s">
        <v>326</v>
      </c>
      <c r="C169" s="113" t="s">
        <v>136</v>
      </c>
      <c r="D169" s="113" t="s">
        <v>132</v>
      </c>
      <c r="E169" s="114"/>
      <c r="F169" s="114" t="s">
        <v>289</v>
      </c>
      <c r="G169" s="115"/>
    </row>
    <row r="170" spans="1:7">
      <c r="A170" s="113" t="s">
        <v>262</v>
      </c>
      <c r="B170" s="113" t="s">
        <v>327</v>
      </c>
      <c r="C170" s="113" t="s">
        <v>197</v>
      </c>
      <c r="D170" s="113" t="s">
        <v>328</v>
      </c>
      <c r="E170" s="114"/>
      <c r="F170" s="114" t="s">
        <v>289</v>
      </c>
      <c r="G170" s="115" t="s">
        <v>329</v>
      </c>
    </row>
    <row r="171" spans="1:7">
      <c r="A171" s="113" t="s">
        <v>262</v>
      </c>
      <c r="B171" s="113" t="s">
        <v>330</v>
      </c>
      <c r="C171" s="113" t="s">
        <v>197</v>
      </c>
      <c r="D171" s="113" t="s">
        <v>328</v>
      </c>
      <c r="E171" s="114"/>
      <c r="F171" s="114" t="s">
        <v>289</v>
      </c>
      <c r="G171" s="115" t="s">
        <v>329</v>
      </c>
    </row>
    <row r="172" spans="1:7">
      <c r="A172" s="113" t="s">
        <v>262</v>
      </c>
      <c r="B172" s="113" t="s">
        <v>331</v>
      </c>
      <c r="C172" s="113" t="s">
        <v>197</v>
      </c>
      <c r="D172" s="113" t="s">
        <v>328</v>
      </c>
      <c r="E172" s="114"/>
      <c r="F172" s="114" t="s">
        <v>289</v>
      </c>
      <c r="G172" s="115" t="s">
        <v>329</v>
      </c>
    </row>
    <row r="173" spans="1:7">
      <c r="A173" s="113" t="s">
        <v>262</v>
      </c>
      <c r="B173" s="113" t="s">
        <v>332</v>
      </c>
      <c r="C173" s="113" t="s">
        <v>197</v>
      </c>
      <c r="D173" s="113" t="s">
        <v>328</v>
      </c>
      <c r="E173" s="114"/>
      <c r="F173" s="114" t="s">
        <v>289</v>
      </c>
      <c r="G173" s="115" t="s">
        <v>329</v>
      </c>
    </row>
    <row r="174" spans="1:7">
      <c r="A174" s="113" t="s">
        <v>262</v>
      </c>
      <c r="B174" s="113" t="s">
        <v>333</v>
      </c>
      <c r="C174" s="113" t="s">
        <v>197</v>
      </c>
      <c r="D174" s="113" t="s">
        <v>328</v>
      </c>
      <c r="E174" s="114"/>
      <c r="F174" s="114" t="s">
        <v>289</v>
      </c>
      <c r="G174" s="115" t="s">
        <v>329</v>
      </c>
    </row>
    <row r="175" spans="1:7">
      <c r="A175" s="113" t="s">
        <v>262</v>
      </c>
      <c r="B175" s="113" t="s">
        <v>334</v>
      </c>
      <c r="C175" s="113" t="s">
        <v>197</v>
      </c>
      <c r="D175" s="113" t="s">
        <v>328</v>
      </c>
      <c r="E175" s="114"/>
      <c r="F175" s="114" t="s">
        <v>289</v>
      </c>
      <c r="G175" s="115" t="s">
        <v>329</v>
      </c>
    </row>
    <row r="176" spans="1:7">
      <c r="A176" s="113" t="s">
        <v>262</v>
      </c>
      <c r="B176" s="113" t="s">
        <v>335</v>
      </c>
      <c r="C176" s="113" t="s">
        <v>136</v>
      </c>
      <c r="D176" s="113" t="s">
        <v>251</v>
      </c>
      <c r="E176" s="114"/>
      <c r="F176" s="114" t="s">
        <v>336</v>
      </c>
      <c r="G176" s="115"/>
    </row>
    <row r="177" spans="1:7">
      <c r="A177" s="113" t="s">
        <v>262</v>
      </c>
      <c r="B177" s="113" t="s">
        <v>337</v>
      </c>
      <c r="C177" s="113" t="s">
        <v>136</v>
      </c>
      <c r="D177" s="113" t="s">
        <v>251</v>
      </c>
      <c r="E177" s="114" t="s">
        <v>338</v>
      </c>
      <c r="F177" s="114" t="s">
        <v>138</v>
      </c>
      <c r="G177" s="115"/>
    </row>
    <row r="178" spans="1:7">
      <c r="A178" s="113" t="s">
        <v>262</v>
      </c>
      <c r="B178" s="113" t="s">
        <v>339</v>
      </c>
      <c r="C178" s="113" t="s">
        <v>136</v>
      </c>
      <c r="D178" s="113" t="s">
        <v>132</v>
      </c>
      <c r="E178" s="114" t="s">
        <v>338</v>
      </c>
      <c r="F178" s="114" t="s">
        <v>142</v>
      </c>
      <c r="G178" s="115"/>
    </row>
    <row r="179" spans="1:7">
      <c r="A179" s="113" t="s">
        <v>262</v>
      </c>
      <c r="B179" s="113" t="s">
        <v>340</v>
      </c>
      <c r="C179" s="113" t="s">
        <v>136</v>
      </c>
      <c r="D179" s="113" t="s">
        <v>251</v>
      </c>
      <c r="E179" s="114" t="s">
        <v>252</v>
      </c>
      <c r="F179" s="114" t="s">
        <v>138</v>
      </c>
      <c r="G179" s="115"/>
    </row>
    <row r="180" spans="1:7">
      <c r="A180" s="113" t="s">
        <v>262</v>
      </c>
      <c r="B180" s="113" t="s">
        <v>341</v>
      </c>
      <c r="C180" s="113" t="s">
        <v>136</v>
      </c>
      <c r="D180" s="113" t="s">
        <v>251</v>
      </c>
      <c r="E180" s="114" t="s">
        <v>252</v>
      </c>
      <c r="F180" s="114" t="s">
        <v>138</v>
      </c>
      <c r="G180" s="115"/>
    </row>
    <row r="181" spans="1:7">
      <c r="A181" s="113" t="s">
        <v>262</v>
      </c>
      <c r="B181" s="113" t="s">
        <v>342</v>
      </c>
      <c r="C181" s="113" t="s">
        <v>136</v>
      </c>
      <c r="D181" s="113" t="s">
        <v>132</v>
      </c>
      <c r="E181" s="114"/>
      <c r="F181" s="114" t="s">
        <v>142</v>
      </c>
      <c r="G181" s="115"/>
    </row>
    <row r="182" spans="1:7">
      <c r="A182" s="113" t="s">
        <v>262</v>
      </c>
      <c r="B182" s="113" t="s">
        <v>343</v>
      </c>
      <c r="C182" s="113" t="s">
        <v>136</v>
      </c>
      <c r="D182" s="113" t="s">
        <v>162</v>
      </c>
      <c r="E182" s="114"/>
      <c r="F182" s="114" t="s">
        <v>138</v>
      </c>
      <c r="G182" s="115"/>
    </row>
    <row r="183" spans="1:7">
      <c r="A183" s="113" t="s">
        <v>344</v>
      </c>
      <c r="B183" s="113" t="s">
        <v>345</v>
      </c>
      <c r="C183" s="113" t="s">
        <v>136</v>
      </c>
      <c r="D183" s="113" t="s">
        <v>162</v>
      </c>
      <c r="E183" s="114"/>
      <c r="F183" s="114" t="s">
        <v>138</v>
      </c>
      <c r="G183" s="115"/>
    </row>
    <row r="184" spans="1:7">
      <c r="A184" s="113" t="s">
        <v>344</v>
      </c>
      <c r="B184" s="113" t="s">
        <v>346</v>
      </c>
      <c r="C184" s="113" t="s">
        <v>197</v>
      </c>
      <c r="D184" s="113" t="s">
        <v>132</v>
      </c>
      <c r="E184" s="114"/>
      <c r="F184" s="114" t="s">
        <v>142</v>
      </c>
      <c r="G184" s="115" t="s">
        <v>198</v>
      </c>
    </row>
    <row r="185" spans="1:7">
      <c r="A185" s="113" t="s">
        <v>344</v>
      </c>
      <c r="B185" s="113" t="s">
        <v>347</v>
      </c>
      <c r="C185" s="113" t="s">
        <v>136</v>
      </c>
      <c r="D185" s="113" t="s">
        <v>132</v>
      </c>
      <c r="E185" s="114"/>
      <c r="F185" s="114" t="s">
        <v>142</v>
      </c>
      <c r="G185" s="115"/>
    </row>
    <row r="186" spans="1:7">
      <c r="A186" s="113" t="s">
        <v>344</v>
      </c>
      <c r="B186" s="113" t="s">
        <v>348</v>
      </c>
      <c r="C186" s="113" t="s">
        <v>136</v>
      </c>
      <c r="D186" s="113" t="s">
        <v>132</v>
      </c>
      <c r="E186" s="114"/>
      <c r="F186" s="114" t="s">
        <v>142</v>
      </c>
      <c r="G186" s="115"/>
    </row>
    <row r="187" spans="1:7">
      <c r="A187" s="113" t="s">
        <v>344</v>
      </c>
      <c r="B187" s="113" t="s">
        <v>349</v>
      </c>
      <c r="C187" s="113" t="s">
        <v>136</v>
      </c>
      <c r="D187" s="113" t="s">
        <v>132</v>
      </c>
      <c r="E187" s="114"/>
      <c r="F187" s="114" t="s">
        <v>142</v>
      </c>
      <c r="G187" s="115"/>
    </row>
    <row r="188" spans="1:7">
      <c r="A188" s="113" t="s">
        <v>344</v>
      </c>
      <c r="B188" s="113" t="s">
        <v>350</v>
      </c>
      <c r="C188" s="113" t="s">
        <v>136</v>
      </c>
      <c r="D188" s="113" t="s">
        <v>132</v>
      </c>
      <c r="E188" s="114"/>
      <c r="F188" s="114" t="s">
        <v>142</v>
      </c>
      <c r="G188" s="115"/>
    </row>
    <row r="189" spans="1:7">
      <c r="A189" s="113" t="s">
        <v>344</v>
      </c>
      <c r="B189" s="113" t="s">
        <v>351</v>
      </c>
      <c r="C189" s="113" t="s">
        <v>136</v>
      </c>
      <c r="D189" s="113" t="s">
        <v>145</v>
      </c>
      <c r="E189" s="114" t="s">
        <v>352</v>
      </c>
      <c r="F189" s="114" t="s">
        <v>142</v>
      </c>
      <c r="G189" s="115"/>
    </row>
    <row r="190" spans="1:7">
      <c r="A190" s="113" t="s">
        <v>344</v>
      </c>
      <c r="B190" s="113" t="s">
        <v>353</v>
      </c>
      <c r="C190" s="113" t="s">
        <v>136</v>
      </c>
      <c r="D190" s="113" t="s">
        <v>162</v>
      </c>
      <c r="E190" s="114" t="s">
        <v>352</v>
      </c>
      <c r="F190" s="114" t="s">
        <v>138</v>
      </c>
      <c r="G190" s="115"/>
    </row>
    <row r="191" spans="1:7">
      <c r="A191" s="113" t="s">
        <v>344</v>
      </c>
      <c r="B191" s="113" t="s">
        <v>354</v>
      </c>
      <c r="C191" s="113" t="s">
        <v>136</v>
      </c>
      <c r="D191" s="113" t="s">
        <v>162</v>
      </c>
      <c r="E191" s="114"/>
      <c r="F191" s="114" t="s">
        <v>138</v>
      </c>
      <c r="G191" s="115"/>
    </row>
    <row r="192" spans="1:7">
      <c r="A192" s="113" t="s">
        <v>344</v>
      </c>
      <c r="B192" s="113" t="s">
        <v>355</v>
      </c>
      <c r="C192" s="113" t="s">
        <v>136</v>
      </c>
      <c r="D192" s="113" t="s">
        <v>145</v>
      </c>
      <c r="E192" s="114" t="s">
        <v>352</v>
      </c>
      <c r="F192" s="114" t="s">
        <v>142</v>
      </c>
      <c r="G192" s="115"/>
    </row>
    <row r="193" spans="1:7">
      <c r="A193" s="113" t="s">
        <v>344</v>
      </c>
      <c r="B193" s="113" t="s">
        <v>356</v>
      </c>
      <c r="C193" s="113" t="s">
        <v>136</v>
      </c>
      <c r="D193" s="113" t="s">
        <v>145</v>
      </c>
      <c r="E193" s="114" t="s">
        <v>352</v>
      </c>
      <c r="F193" s="114" t="s">
        <v>142</v>
      </c>
      <c r="G193" s="115"/>
    </row>
    <row r="194" spans="1:7">
      <c r="A194" s="113" t="s">
        <v>344</v>
      </c>
      <c r="B194" s="113" t="s">
        <v>357</v>
      </c>
      <c r="C194" s="113" t="s">
        <v>136</v>
      </c>
      <c r="D194" s="113" t="s">
        <v>132</v>
      </c>
      <c r="E194" s="114"/>
      <c r="F194" s="114" t="s">
        <v>142</v>
      </c>
      <c r="G194" s="115"/>
    </row>
    <row r="195" spans="1:7">
      <c r="A195" s="113" t="s">
        <v>344</v>
      </c>
      <c r="B195" s="113" t="s">
        <v>358</v>
      </c>
      <c r="C195" s="113" t="s">
        <v>136</v>
      </c>
      <c r="D195" s="113" t="s">
        <v>132</v>
      </c>
      <c r="E195" s="114"/>
      <c r="F195" s="114" t="s">
        <v>142</v>
      </c>
      <c r="G195" s="115"/>
    </row>
    <row r="196" spans="1:7">
      <c r="A196" s="113" t="s">
        <v>344</v>
      </c>
      <c r="B196" s="113" t="s">
        <v>359</v>
      </c>
      <c r="C196" s="113" t="s">
        <v>136</v>
      </c>
      <c r="D196" s="113" t="s">
        <v>132</v>
      </c>
      <c r="E196" s="114"/>
      <c r="F196" s="114" t="s">
        <v>142</v>
      </c>
      <c r="G196" s="115"/>
    </row>
    <row r="197" spans="1:7">
      <c r="A197" s="113" t="s">
        <v>344</v>
      </c>
      <c r="B197" s="113" t="s">
        <v>360</v>
      </c>
      <c r="C197" s="113" t="s">
        <v>136</v>
      </c>
      <c r="D197" s="113" t="s">
        <v>145</v>
      </c>
      <c r="E197" s="114" t="s">
        <v>352</v>
      </c>
      <c r="F197" s="114" t="s">
        <v>142</v>
      </c>
      <c r="G197" s="115"/>
    </row>
    <row r="198" spans="1:7">
      <c r="A198" s="113" t="s">
        <v>344</v>
      </c>
      <c r="B198" s="113" t="s">
        <v>361</v>
      </c>
      <c r="C198" s="113" t="s">
        <v>136</v>
      </c>
      <c r="D198" s="113" t="s">
        <v>145</v>
      </c>
      <c r="E198" s="114" t="s">
        <v>352</v>
      </c>
      <c r="F198" s="114" t="s">
        <v>142</v>
      </c>
      <c r="G198" s="115"/>
    </row>
    <row r="199" spans="1:7">
      <c r="A199" s="113" t="s">
        <v>344</v>
      </c>
      <c r="B199" s="113" t="s">
        <v>362</v>
      </c>
      <c r="C199" s="113" t="s">
        <v>136</v>
      </c>
      <c r="D199" s="113" t="s">
        <v>162</v>
      </c>
      <c r="E199" s="114"/>
      <c r="F199" s="114" t="s">
        <v>138</v>
      </c>
      <c r="G199" s="115"/>
    </row>
    <row r="200" spans="1:7">
      <c r="A200" s="113" t="s">
        <v>344</v>
      </c>
      <c r="B200" s="113" t="s">
        <v>363</v>
      </c>
      <c r="C200" s="113" t="s">
        <v>136</v>
      </c>
      <c r="D200" s="113" t="s">
        <v>132</v>
      </c>
      <c r="E200" s="114"/>
      <c r="F200" s="114" t="s">
        <v>142</v>
      </c>
      <c r="G200" s="115"/>
    </row>
    <row r="201" spans="1:7">
      <c r="A201" s="113" t="s">
        <v>344</v>
      </c>
      <c r="B201" s="113" t="s">
        <v>364</v>
      </c>
      <c r="C201" s="113" t="s">
        <v>136</v>
      </c>
      <c r="D201" s="113" t="s">
        <v>132</v>
      </c>
      <c r="E201" s="114"/>
      <c r="F201" s="114" t="s">
        <v>142</v>
      </c>
      <c r="G201" s="115"/>
    </row>
    <row r="202" spans="1:7">
      <c r="A202" s="113" t="s">
        <v>344</v>
      </c>
      <c r="B202" s="113" t="s">
        <v>365</v>
      </c>
      <c r="C202" s="113" t="s">
        <v>136</v>
      </c>
      <c r="D202" s="113" t="s">
        <v>132</v>
      </c>
      <c r="E202" s="114"/>
      <c r="F202" s="114" t="s">
        <v>142</v>
      </c>
      <c r="G202" s="115"/>
    </row>
    <row r="203" spans="1:7">
      <c r="A203" s="113" t="s">
        <v>344</v>
      </c>
      <c r="B203" s="113" t="s">
        <v>366</v>
      </c>
      <c r="C203" s="113" t="s">
        <v>136</v>
      </c>
      <c r="D203" s="113" t="s">
        <v>132</v>
      </c>
      <c r="E203" s="114"/>
      <c r="F203" s="114" t="s">
        <v>142</v>
      </c>
      <c r="G203" s="115"/>
    </row>
    <row r="204" spans="1:7">
      <c r="A204" s="113" t="s">
        <v>344</v>
      </c>
      <c r="B204" s="113" t="s">
        <v>367</v>
      </c>
      <c r="C204" s="113" t="s">
        <v>136</v>
      </c>
      <c r="D204" s="113" t="s">
        <v>132</v>
      </c>
      <c r="E204" s="114"/>
      <c r="F204" s="114" t="s">
        <v>142</v>
      </c>
      <c r="G204" s="115"/>
    </row>
    <row r="205" spans="1:7">
      <c r="A205" s="113" t="s">
        <v>344</v>
      </c>
      <c r="B205" s="113" t="s">
        <v>368</v>
      </c>
      <c r="C205" s="113" t="s">
        <v>136</v>
      </c>
      <c r="D205" s="113" t="s">
        <v>132</v>
      </c>
      <c r="E205" s="114"/>
      <c r="F205" s="114" t="s">
        <v>142</v>
      </c>
      <c r="G205" s="115"/>
    </row>
    <row r="206" spans="1:7">
      <c r="A206" s="113" t="s">
        <v>344</v>
      </c>
      <c r="B206" s="113" t="s">
        <v>369</v>
      </c>
      <c r="C206" s="113" t="s">
        <v>197</v>
      </c>
      <c r="D206" s="113" t="s">
        <v>132</v>
      </c>
      <c r="E206" s="114"/>
      <c r="F206" s="114" t="s">
        <v>142</v>
      </c>
      <c r="G206" s="115" t="s">
        <v>198</v>
      </c>
    </row>
    <row r="207" spans="1:7">
      <c r="A207" s="113" t="s">
        <v>344</v>
      </c>
      <c r="B207" s="113" t="s">
        <v>370</v>
      </c>
      <c r="C207" s="113" t="s">
        <v>136</v>
      </c>
      <c r="D207" s="113" t="s">
        <v>145</v>
      </c>
      <c r="E207" s="114" t="s">
        <v>168</v>
      </c>
      <c r="F207" s="114" t="s">
        <v>142</v>
      </c>
      <c r="G207" s="115"/>
    </row>
    <row r="208" spans="1:7">
      <c r="A208" s="113" t="s">
        <v>344</v>
      </c>
      <c r="B208" s="113" t="s">
        <v>371</v>
      </c>
      <c r="C208" s="113" t="s">
        <v>136</v>
      </c>
      <c r="D208" s="113" t="s">
        <v>145</v>
      </c>
      <c r="E208" s="114"/>
      <c r="F208" s="114" t="s">
        <v>142</v>
      </c>
      <c r="G208" s="115"/>
    </row>
    <row r="209" spans="1:7">
      <c r="A209" s="113" t="s">
        <v>344</v>
      </c>
      <c r="B209" s="113" t="s">
        <v>372</v>
      </c>
      <c r="C209" s="113" t="s">
        <v>136</v>
      </c>
      <c r="D209" s="113" t="s">
        <v>145</v>
      </c>
      <c r="E209" s="114"/>
      <c r="F209" s="114" t="s">
        <v>142</v>
      </c>
      <c r="G209" s="115"/>
    </row>
    <row r="210" spans="1:7">
      <c r="A210" s="113" t="s">
        <v>344</v>
      </c>
      <c r="B210" s="113" t="s">
        <v>373</v>
      </c>
      <c r="C210" s="113" t="s">
        <v>136</v>
      </c>
      <c r="D210" s="113" t="s">
        <v>145</v>
      </c>
      <c r="E210" s="114"/>
      <c r="F210" s="114" t="s">
        <v>142</v>
      </c>
      <c r="G210" s="115"/>
    </row>
    <row r="211" spans="1:7">
      <c r="A211" s="113" t="s">
        <v>344</v>
      </c>
      <c r="B211" s="113" t="s">
        <v>374</v>
      </c>
      <c r="C211" s="113" t="s">
        <v>136</v>
      </c>
      <c r="D211" s="113" t="s">
        <v>145</v>
      </c>
      <c r="E211" s="114" t="s">
        <v>168</v>
      </c>
      <c r="F211" s="114" t="s">
        <v>142</v>
      </c>
      <c r="G211" s="115"/>
    </row>
    <row r="212" spans="1:7">
      <c r="A212" s="113" t="s">
        <v>344</v>
      </c>
      <c r="B212" s="113" t="s">
        <v>375</v>
      </c>
      <c r="C212" s="113" t="s">
        <v>136</v>
      </c>
      <c r="D212" s="113" t="s">
        <v>145</v>
      </c>
      <c r="E212" s="114" t="s">
        <v>168</v>
      </c>
      <c r="F212" s="114" t="s">
        <v>142</v>
      </c>
      <c r="G212" s="115"/>
    </row>
    <row r="213" spans="1:7">
      <c r="A213" s="113" t="s">
        <v>344</v>
      </c>
      <c r="B213" s="113" t="s">
        <v>376</v>
      </c>
      <c r="C213" s="113" t="s">
        <v>136</v>
      </c>
      <c r="D213" s="113" t="s">
        <v>145</v>
      </c>
      <c r="E213" s="114" t="s">
        <v>168</v>
      </c>
      <c r="F213" s="114" t="s">
        <v>142</v>
      </c>
      <c r="G213" s="115"/>
    </row>
    <row r="214" spans="1:7">
      <c r="A214" s="113" t="s">
        <v>344</v>
      </c>
      <c r="B214" s="113" t="s">
        <v>377</v>
      </c>
      <c r="C214" s="113" t="s">
        <v>136</v>
      </c>
      <c r="D214" s="113" t="s">
        <v>145</v>
      </c>
      <c r="E214" s="114" t="s">
        <v>168</v>
      </c>
      <c r="F214" s="114" t="s">
        <v>142</v>
      </c>
      <c r="G214" s="115"/>
    </row>
    <row r="215" spans="1:7">
      <c r="A215" s="113" t="s">
        <v>344</v>
      </c>
      <c r="B215" s="113" t="s">
        <v>378</v>
      </c>
      <c r="C215" s="113" t="s">
        <v>136</v>
      </c>
      <c r="D215" s="113" t="s">
        <v>162</v>
      </c>
      <c r="E215" s="114"/>
      <c r="F215" s="114" t="s">
        <v>138</v>
      </c>
      <c r="G215" s="115"/>
    </row>
    <row r="216" spans="1:7">
      <c r="A216" s="113" t="s">
        <v>344</v>
      </c>
      <c r="B216" s="113" t="s">
        <v>379</v>
      </c>
      <c r="C216" s="113" t="s">
        <v>136</v>
      </c>
      <c r="D216" s="113" t="s">
        <v>132</v>
      </c>
      <c r="E216" s="114"/>
      <c r="F216" s="114" t="s">
        <v>142</v>
      </c>
      <c r="G216" s="115"/>
    </row>
    <row r="217" spans="1:7">
      <c r="A217" s="113" t="s">
        <v>344</v>
      </c>
      <c r="B217" s="113" t="s">
        <v>380</v>
      </c>
      <c r="C217" s="113" t="s">
        <v>136</v>
      </c>
      <c r="D217" s="113" t="s">
        <v>145</v>
      </c>
      <c r="E217" s="114" t="s">
        <v>381</v>
      </c>
      <c r="F217" s="114" t="s">
        <v>134</v>
      </c>
      <c r="G217" s="115"/>
    </row>
    <row r="218" spans="1:7">
      <c r="A218" s="113" t="s">
        <v>344</v>
      </c>
      <c r="B218" s="113" t="s">
        <v>382</v>
      </c>
      <c r="C218" s="113" t="s">
        <v>136</v>
      </c>
      <c r="D218" s="113" t="s">
        <v>132</v>
      </c>
      <c r="E218" s="114" t="s">
        <v>153</v>
      </c>
      <c r="F218" s="114" t="s">
        <v>154</v>
      </c>
      <c r="G218" s="115"/>
    </row>
    <row r="219" spans="1:7">
      <c r="A219" s="113" t="s">
        <v>344</v>
      </c>
      <c r="B219" s="113" t="s">
        <v>383</v>
      </c>
      <c r="C219" s="113" t="s">
        <v>136</v>
      </c>
      <c r="D219" s="113" t="s">
        <v>132</v>
      </c>
      <c r="E219" s="114"/>
      <c r="F219" s="114" t="s">
        <v>142</v>
      </c>
      <c r="G219" s="115"/>
    </row>
    <row r="220" spans="1:7">
      <c r="A220" s="113" t="s">
        <v>344</v>
      </c>
      <c r="B220" s="113" t="s">
        <v>384</v>
      </c>
      <c r="C220" s="113" t="s">
        <v>136</v>
      </c>
      <c r="D220" s="113" t="s">
        <v>132</v>
      </c>
      <c r="E220" s="114"/>
      <c r="F220" s="114" t="s">
        <v>142</v>
      </c>
      <c r="G220" s="115"/>
    </row>
    <row r="221" spans="1:7">
      <c r="A221" s="113" t="s">
        <v>344</v>
      </c>
      <c r="B221" s="113" t="s">
        <v>385</v>
      </c>
      <c r="C221" s="113" t="s">
        <v>136</v>
      </c>
      <c r="D221" s="113" t="s">
        <v>145</v>
      </c>
      <c r="E221" s="114" t="s">
        <v>168</v>
      </c>
      <c r="F221" s="114" t="s">
        <v>142</v>
      </c>
      <c r="G221" s="115"/>
    </row>
    <row r="222" spans="1:7">
      <c r="A222" s="113" t="s">
        <v>344</v>
      </c>
      <c r="B222" s="113" t="s">
        <v>386</v>
      </c>
      <c r="C222" s="113" t="s">
        <v>136</v>
      </c>
      <c r="D222" s="113" t="s">
        <v>145</v>
      </c>
      <c r="E222" s="114" t="s">
        <v>168</v>
      </c>
      <c r="F222" s="114" t="s">
        <v>142</v>
      </c>
      <c r="G222" s="115"/>
    </row>
    <row r="223" spans="1:7">
      <c r="A223" s="113" t="s">
        <v>344</v>
      </c>
      <c r="B223" s="113" t="s">
        <v>387</v>
      </c>
      <c r="C223" s="113" t="s">
        <v>136</v>
      </c>
      <c r="D223" s="113" t="s">
        <v>132</v>
      </c>
      <c r="E223" s="114"/>
      <c r="F223" s="114" t="s">
        <v>202</v>
      </c>
      <c r="G223" s="115"/>
    </row>
    <row r="224" spans="1:7">
      <c r="A224" s="113" t="s">
        <v>344</v>
      </c>
      <c r="B224" s="113" t="s">
        <v>388</v>
      </c>
      <c r="C224" s="113" t="s">
        <v>136</v>
      </c>
      <c r="D224" s="113" t="s">
        <v>132</v>
      </c>
      <c r="E224" s="114"/>
      <c r="F224" s="114" t="s">
        <v>142</v>
      </c>
      <c r="G224" s="115"/>
    </row>
    <row r="225" spans="1:7">
      <c r="A225" s="113" t="s">
        <v>344</v>
      </c>
      <c r="B225" s="113" t="s">
        <v>389</v>
      </c>
      <c r="C225" s="113" t="s">
        <v>136</v>
      </c>
      <c r="D225" s="113" t="s">
        <v>145</v>
      </c>
      <c r="E225" s="114" t="s">
        <v>390</v>
      </c>
      <c r="F225" s="114" t="s">
        <v>134</v>
      </c>
      <c r="G225" s="115"/>
    </row>
    <row r="226" spans="1:7">
      <c r="A226" s="113" t="s">
        <v>344</v>
      </c>
      <c r="B226" s="113" t="s">
        <v>391</v>
      </c>
      <c r="C226" s="113" t="s">
        <v>136</v>
      </c>
      <c r="D226" s="113" t="s">
        <v>145</v>
      </c>
      <c r="E226" s="114" t="s">
        <v>392</v>
      </c>
      <c r="F226" s="114" t="s">
        <v>134</v>
      </c>
      <c r="G226" s="115"/>
    </row>
    <row r="227" spans="1:7">
      <c r="A227" s="113" t="s">
        <v>344</v>
      </c>
      <c r="B227" s="113" t="s">
        <v>393</v>
      </c>
      <c r="C227" s="113" t="s">
        <v>136</v>
      </c>
      <c r="D227" s="113" t="s">
        <v>145</v>
      </c>
      <c r="E227" s="114" t="s">
        <v>394</v>
      </c>
      <c r="F227" s="114" t="s">
        <v>134</v>
      </c>
      <c r="G227" s="117"/>
    </row>
    <row r="228" spans="1:7">
      <c r="A228" s="113" t="s">
        <v>344</v>
      </c>
      <c r="B228" s="113" t="s">
        <v>395</v>
      </c>
      <c r="C228" s="113" t="s">
        <v>136</v>
      </c>
      <c r="D228" s="113" t="s">
        <v>145</v>
      </c>
      <c r="E228" s="114" t="s">
        <v>396</v>
      </c>
      <c r="F228" s="114" t="s">
        <v>134</v>
      </c>
      <c r="G228" s="115"/>
    </row>
    <row r="229" spans="1:7">
      <c r="A229" s="113" t="s">
        <v>344</v>
      </c>
      <c r="B229" s="113" t="s">
        <v>397</v>
      </c>
      <c r="C229" s="113" t="s">
        <v>136</v>
      </c>
      <c r="D229" s="113" t="s">
        <v>145</v>
      </c>
      <c r="E229" s="114"/>
      <c r="F229" s="114" t="s">
        <v>134</v>
      </c>
      <c r="G229" s="115"/>
    </row>
    <row r="230" spans="1:7">
      <c r="A230" s="113" t="s">
        <v>344</v>
      </c>
      <c r="B230" s="113" t="s">
        <v>398</v>
      </c>
      <c r="C230" s="113" t="s">
        <v>136</v>
      </c>
      <c r="D230" s="113" t="s">
        <v>145</v>
      </c>
      <c r="E230" s="114" t="s">
        <v>399</v>
      </c>
      <c r="F230" s="114" t="s">
        <v>134</v>
      </c>
      <c r="G230" s="115"/>
    </row>
    <row r="231" spans="1:7">
      <c r="A231" s="113" t="s">
        <v>344</v>
      </c>
      <c r="B231" s="113" t="s">
        <v>400</v>
      </c>
      <c r="C231" s="113" t="s">
        <v>136</v>
      </c>
      <c r="D231" s="113" t="s">
        <v>132</v>
      </c>
      <c r="E231" s="114" t="s">
        <v>252</v>
      </c>
      <c r="F231" s="114" t="s">
        <v>134</v>
      </c>
      <c r="G231" s="115"/>
    </row>
    <row r="232" spans="1:7">
      <c r="A232" s="113" t="s">
        <v>344</v>
      </c>
      <c r="B232" s="113" t="s">
        <v>401</v>
      </c>
      <c r="C232" s="113" t="s">
        <v>136</v>
      </c>
      <c r="D232" s="113" t="s">
        <v>145</v>
      </c>
      <c r="E232" s="114" t="s">
        <v>402</v>
      </c>
      <c r="F232" s="114" t="s">
        <v>142</v>
      </c>
      <c r="G232" s="115"/>
    </row>
    <row r="233" spans="1:7">
      <c r="A233" s="113" t="s">
        <v>344</v>
      </c>
      <c r="B233" s="113" t="s">
        <v>403</v>
      </c>
      <c r="C233" s="113" t="s">
        <v>136</v>
      </c>
      <c r="D233" s="113" t="s">
        <v>145</v>
      </c>
      <c r="E233" s="114" t="s">
        <v>402</v>
      </c>
      <c r="F233" s="114" t="s">
        <v>142</v>
      </c>
      <c r="G233" s="115"/>
    </row>
    <row r="234" spans="1:7">
      <c r="A234" s="113" t="s">
        <v>344</v>
      </c>
      <c r="B234" s="113" t="s">
        <v>404</v>
      </c>
      <c r="C234" s="113" t="s">
        <v>136</v>
      </c>
      <c r="D234" s="113" t="s">
        <v>145</v>
      </c>
      <c r="E234" s="114" t="s">
        <v>402</v>
      </c>
      <c r="F234" s="114" t="s">
        <v>142</v>
      </c>
      <c r="G234" s="115"/>
    </row>
    <row r="235" spans="1:7">
      <c r="A235" s="113" t="s">
        <v>344</v>
      </c>
      <c r="B235" s="113" t="s">
        <v>405</v>
      </c>
      <c r="C235" s="113" t="s">
        <v>136</v>
      </c>
      <c r="D235" s="113" t="s">
        <v>132</v>
      </c>
      <c r="E235" s="114" t="s">
        <v>252</v>
      </c>
      <c r="F235" s="114" t="s">
        <v>142</v>
      </c>
      <c r="G235" s="115"/>
    </row>
    <row r="236" spans="1:7">
      <c r="A236" s="113" t="s">
        <v>344</v>
      </c>
      <c r="B236" s="113" t="s">
        <v>406</v>
      </c>
      <c r="C236" s="113" t="s">
        <v>136</v>
      </c>
      <c r="D236" s="113" t="s">
        <v>145</v>
      </c>
      <c r="E236" s="114" t="s">
        <v>407</v>
      </c>
      <c r="F236" s="114" t="s">
        <v>134</v>
      </c>
      <c r="G236" s="115"/>
    </row>
    <row r="237" spans="1:7">
      <c r="A237" s="113" t="s">
        <v>344</v>
      </c>
      <c r="B237" s="113" t="s">
        <v>408</v>
      </c>
      <c r="C237" s="113" t="s">
        <v>136</v>
      </c>
      <c r="D237" s="113" t="s">
        <v>145</v>
      </c>
      <c r="E237" s="114" t="s">
        <v>409</v>
      </c>
      <c r="F237" s="114" t="s">
        <v>134</v>
      </c>
      <c r="G237" s="115"/>
    </row>
    <row r="238" spans="1:7">
      <c r="A238" s="113" t="s">
        <v>344</v>
      </c>
      <c r="B238" s="113" t="s">
        <v>410</v>
      </c>
      <c r="C238" s="113" t="s">
        <v>136</v>
      </c>
      <c r="D238" s="113" t="s">
        <v>145</v>
      </c>
      <c r="E238" s="114" t="s">
        <v>402</v>
      </c>
      <c r="F238" s="114" t="s">
        <v>142</v>
      </c>
      <c r="G238" s="115"/>
    </row>
    <row r="239" spans="1:7">
      <c r="A239" s="113" t="s">
        <v>344</v>
      </c>
      <c r="B239" s="113" t="s">
        <v>411</v>
      </c>
      <c r="C239" s="113" t="s">
        <v>136</v>
      </c>
      <c r="D239" s="113" t="s">
        <v>162</v>
      </c>
      <c r="E239" s="114"/>
      <c r="F239" s="114" t="s">
        <v>138</v>
      </c>
      <c r="G239" s="115"/>
    </row>
    <row r="240" spans="1:7">
      <c r="A240" s="113" t="s">
        <v>344</v>
      </c>
      <c r="B240" s="113" t="s">
        <v>412</v>
      </c>
      <c r="C240" s="113" t="s">
        <v>136</v>
      </c>
      <c r="D240" s="113" t="s">
        <v>162</v>
      </c>
      <c r="E240" s="114"/>
      <c r="F240" s="114" t="s">
        <v>138</v>
      </c>
      <c r="G240" s="115"/>
    </row>
    <row r="241" spans="1:7">
      <c r="A241" s="113" t="s">
        <v>344</v>
      </c>
      <c r="B241" s="113" t="s">
        <v>413</v>
      </c>
      <c r="C241" s="113" t="s">
        <v>136</v>
      </c>
      <c r="D241" s="113" t="s">
        <v>162</v>
      </c>
      <c r="E241" s="114"/>
      <c r="F241" s="114" t="s">
        <v>138</v>
      </c>
      <c r="G241" s="115"/>
    </row>
    <row r="242" spans="1:7">
      <c r="A242" s="113" t="s">
        <v>344</v>
      </c>
      <c r="B242" s="113" t="s">
        <v>414</v>
      </c>
      <c r="C242" s="113" t="s">
        <v>136</v>
      </c>
      <c r="D242" s="113" t="s">
        <v>162</v>
      </c>
      <c r="E242" s="114"/>
      <c r="F242" s="114" t="s">
        <v>138</v>
      </c>
      <c r="G242" s="115"/>
    </row>
    <row r="243" spans="1:7">
      <c r="A243" s="113" t="s">
        <v>344</v>
      </c>
      <c r="B243" s="113" t="s">
        <v>415</v>
      </c>
      <c r="C243" s="113" t="s">
        <v>136</v>
      </c>
      <c r="D243" s="113" t="s">
        <v>251</v>
      </c>
      <c r="E243" s="114"/>
      <c r="F243" s="114" t="s">
        <v>138</v>
      </c>
      <c r="G243" s="115"/>
    </row>
    <row r="244" spans="1:7">
      <c r="A244" s="113" t="s">
        <v>344</v>
      </c>
      <c r="B244" s="113" t="s">
        <v>416</v>
      </c>
      <c r="C244" s="113" t="s">
        <v>141</v>
      </c>
      <c r="D244" s="113" t="s">
        <v>162</v>
      </c>
      <c r="E244" s="114"/>
      <c r="F244" s="114" t="s">
        <v>138</v>
      </c>
      <c r="G244" s="115"/>
    </row>
    <row r="245" spans="1:7">
      <c r="A245" s="113" t="s">
        <v>344</v>
      </c>
      <c r="B245" s="113" t="s">
        <v>417</v>
      </c>
      <c r="C245" s="113" t="s">
        <v>136</v>
      </c>
      <c r="D245" s="113" t="s">
        <v>162</v>
      </c>
      <c r="E245" s="114"/>
      <c r="F245" s="114" t="s">
        <v>138</v>
      </c>
      <c r="G245" s="115"/>
    </row>
    <row r="246" spans="1:7">
      <c r="A246" s="113" t="s">
        <v>344</v>
      </c>
      <c r="B246" s="113" t="s">
        <v>418</v>
      </c>
      <c r="C246" s="113" t="s">
        <v>136</v>
      </c>
      <c r="D246" s="113" t="s">
        <v>162</v>
      </c>
      <c r="E246" s="114"/>
      <c r="F246" s="114" t="s">
        <v>138</v>
      </c>
      <c r="G246" s="115"/>
    </row>
    <row r="247" spans="1:7">
      <c r="A247" s="113" t="s">
        <v>344</v>
      </c>
      <c r="B247" s="113" t="s">
        <v>419</v>
      </c>
      <c r="C247" s="113" t="s">
        <v>141</v>
      </c>
      <c r="D247" s="113" t="s">
        <v>162</v>
      </c>
      <c r="E247" s="114"/>
      <c r="F247" s="114" t="s">
        <v>138</v>
      </c>
      <c r="G247" s="115"/>
    </row>
    <row r="248" spans="1:7">
      <c r="A248" s="113" t="s">
        <v>344</v>
      </c>
      <c r="B248" s="113" t="s">
        <v>420</v>
      </c>
      <c r="C248" s="113" t="s">
        <v>141</v>
      </c>
      <c r="D248" s="113" t="s">
        <v>162</v>
      </c>
      <c r="E248" s="114"/>
      <c r="F248" s="114" t="s">
        <v>138</v>
      </c>
      <c r="G248" s="115"/>
    </row>
    <row r="249" spans="1:7">
      <c r="A249" s="113" t="s">
        <v>344</v>
      </c>
      <c r="B249" s="113" t="s">
        <v>421</v>
      </c>
      <c r="C249" s="113" t="s">
        <v>136</v>
      </c>
      <c r="D249" s="113" t="s">
        <v>162</v>
      </c>
      <c r="E249" s="114"/>
      <c r="F249" s="114" t="s">
        <v>138</v>
      </c>
      <c r="G249" s="115"/>
    </row>
    <row r="250" spans="1:7">
      <c r="A250" s="113" t="s">
        <v>344</v>
      </c>
      <c r="B250" s="113" t="s">
        <v>422</v>
      </c>
      <c r="C250" s="113" t="s">
        <v>136</v>
      </c>
      <c r="D250" s="113" t="s">
        <v>162</v>
      </c>
      <c r="E250" s="114"/>
      <c r="F250" s="114" t="s">
        <v>138</v>
      </c>
      <c r="G250" s="115"/>
    </row>
    <row r="251" spans="1:7">
      <c r="A251" s="113" t="s">
        <v>344</v>
      </c>
      <c r="B251" s="113" t="s">
        <v>423</v>
      </c>
      <c r="C251" s="113" t="s">
        <v>136</v>
      </c>
      <c r="D251" s="113" t="s">
        <v>162</v>
      </c>
      <c r="E251" s="114"/>
      <c r="F251" s="114" t="s">
        <v>138</v>
      </c>
      <c r="G251" s="115"/>
    </row>
    <row r="252" spans="1:7">
      <c r="A252" s="113" t="s">
        <v>344</v>
      </c>
      <c r="B252" s="113" t="s">
        <v>424</v>
      </c>
      <c r="C252" s="113" t="s">
        <v>136</v>
      </c>
      <c r="D252" s="113" t="s">
        <v>162</v>
      </c>
      <c r="E252" s="114" t="s">
        <v>252</v>
      </c>
      <c r="F252" s="114" t="s">
        <v>138</v>
      </c>
      <c r="G252" s="115" t="s">
        <v>151</v>
      </c>
    </row>
    <row r="253" spans="1:7">
      <c r="A253" s="113" t="s">
        <v>344</v>
      </c>
      <c r="B253" s="113" t="s">
        <v>425</v>
      </c>
      <c r="C253" s="113" t="s">
        <v>136</v>
      </c>
      <c r="D253" s="113" t="s">
        <v>251</v>
      </c>
      <c r="E253" s="114" t="s">
        <v>252</v>
      </c>
      <c r="F253" s="114" t="s">
        <v>138</v>
      </c>
      <c r="G253" s="115"/>
    </row>
    <row r="254" spans="1:7">
      <c r="A254" s="113" t="s">
        <v>344</v>
      </c>
      <c r="B254" s="113" t="s">
        <v>426</v>
      </c>
      <c r="C254" s="113" t="s">
        <v>136</v>
      </c>
      <c r="D254" s="113" t="s">
        <v>251</v>
      </c>
      <c r="E254" s="114" t="s">
        <v>252</v>
      </c>
      <c r="F254" s="114" t="s">
        <v>138</v>
      </c>
      <c r="G254" s="115"/>
    </row>
    <row r="255" spans="1:7">
      <c r="A255" s="113" t="s">
        <v>344</v>
      </c>
      <c r="B255" s="113" t="s">
        <v>427</v>
      </c>
      <c r="C255" s="113" t="s">
        <v>136</v>
      </c>
      <c r="D255" s="113" t="s">
        <v>251</v>
      </c>
      <c r="E255" s="114" t="s">
        <v>252</v>
      </c>
      <c r="F255" s="114" t="s">
        <v>138</v>
      </c>
      <c r="G255" s="115"/>
    </row>
    <row r="256" spans="1:7">
      <c r="A256" s="113" t="s">
        <v>344</v>
      </c>
      <c r="B256" s="113" t="s">
        <v>428</v>
      </c>
      <c r="C256" s="113" t="s">
        <v>136</v>
      </c>
      <c r="D256" s="113" t="s">
        <v>251</v>
      </c>
      <c r="E256" s="114" t="s">
        <v>252</v>
      </c>
      <c r="F256" s="114" t="s">
        <v>138</v>
      </c>
      <c r="G256" s="115"/>
    </row>
    <row r="257" spans="1:7">
      <c r="A257" s="113" t="s">
        <v>344</v>
      </c>
      <c r="B257" s="113" t="s">
        <v>429</v>
      </c>
      <c r="C257" s="113" t="s">
        <v>136</v>
      </c>
      <c r="D257" s="113" t="s">
        <v>145</v>
      </c>
      <c r="E257" s="114" t="s">
        <v>430</v>
      </c>
      <c r="F257" s="114" t="s">
        <v>142</v>
      </c>
      <c r="G257" s="115"/>
    </row>
    <row r="258" spans="1:7">
      <c r="A258" s="113" t="s">
        <v>344</v>
      </c>
      <c r="B258" s="113" t="s">
        <v>431</v>
      </c>
      <c r="C258" s="113" t="s">
        <v>136</v>
      </c>
      <c r="D258" s="113" t="s">
        <v>328</v>
      </c>
      <c r="E258" s="114"/>
      <c r="F258" s="114" t="s">
        <v>289</v>
      </c>
      <c r="G258" s="115"/>
    </row>
    <row r="259" spans="1:7">
      <c r="A259" s="113" t="s">
        <v>344</v>
      </c>
      <c r="B259" s="113" t="s">
        <v>432</v>
      </c>
      <c r="C259" s="113" t="s">
        <v>136</v>
      </c>
      <c r="D259" s="113" t="s">
        <v>328</v>
      </c>
      <c r="E259" s="114"/>
      <c r="F259" s="114" t="s">
        <v>289</v>
      </c>
      <c r="G259" s="115"/>
    </row>
    <row r="260" spans="1:7">
      <c r="A260" s="113" t="s">
        <v>344</v>
      </c>
      <c r="B260" s="113" t="s">
        <v>433</v>
      </c>
      <c r="C260" s="113" t="s">
        <v>136</v>
      </c>
      <c r="D260" s="113" t="s">
        <v>328</v>
      </c>
      <c r="E260" s="114"/>
      <c r="F260" s="114" t="s">
        <v>289</v>
      </c>
      <c r="G260" s="115"/>
    </row>
    <row r="261" spans="1:7">
      <c r="A261" s="113" t="s">
        <v>344</v>
      </c>
      <c r="B261" s="113" t="s">
        <v>434</v>
      </c>
      <c r="C261" s="113" t="s">
        <v>136</v>
      </c>
      <c r="D261" s="113" t="s">
        <v>328</v>
      </c>
      <c r="E261" s="114"/>
      <c r="F261" s="114" t="s">
        <v>289</v>
      </c>
      <c r="G261" s="115"/>
    </row>
    <row r="262" spans="1:7">
      <c r="A262" s="113" t="s">
        <v>344</v>
      </c>
      <c r="B262" s="113" t="s">
        <v>435</v>
      </c>
      <c r="C262" s="113" t="s">
        <v>197</v>
      </c>
      <c r="D262" s="113" t="s">
        <v>328</v>
      </c>
      <c r="E262" s="114"/>
      <c r="F262" s="114" t="s">
        <v>289</v>
      </c>
      <c r="G262" s="115" t="s">
        <v>329</v>
      </c>
    </row>
    <row r="263" spans="1:7">
      <c r="A263" s="113" t="s">
        <v>344</v>
      </c>
      <c r="B263" s="113" t="s">
        <v>436</v>
      </c>
      <c r="C263" s="113" t="s">
        <v>197</v>
      </c>
      <c r="D263" s="113" t="s">
        <v>328</v>
      </c>
      <c r="E263" s="114"/>
      <c r="F263" s="114" t="s">
        <v>289</v>
      </c>
      <c r="G263" s="115" t="s">
        <v>329</v>
      </c>
    </row>
    <row r="264" spans="1:7">
      <c r="A264" s="113" t="s">
        <v>344</v>
      </c>
      <c r="B264" s="113" t="s">
        <v>437</v>
      </c>
      <c r="C264" s="113" t="s">
        <v>136</v>
      </c>
      <c r="D264" s="113" t="s">
        <v>328</v>
      </c>
      <c r="E264" s="114"/>
      <c r="F264" s="114" t="s">
        <v>289</v>
      </c>
      <c r="G264" s="115"/>
    </row>
    <row r="265" spans="1:7">
      <c r="A265" s="113" t="s">
        <v>344</v>
      </c>
      <c r="B265" s="113" t="s">
        <v>438</v>
      </c>
      <c r="C265" s="113" t="s">
        <v>197</v>
      </c>
      <c r="D265" s="113" t="s">
        <v>328</v>
      </c>
      <c r="E265" s="114"/>
      <c r="F265" s="114" t="s">
        <v>289</v>
      </c>
      <c r="G265" s="115" t="s">
        <v>329</v>
      </c>
    </row>
    <row r="266" spans="1:7">
      <c r="A266" s="113" t="s">
        <v>344</v>
      </c>
      <c r="B266" s="113" t="s">
        <v>439</v>
      </c>
      <c r="C266" s="113" t="s">
        <v>136</v>
      </c>
      <c r="D266" s="113" t="s">
        <v>145</v>
      </c>
      <c r="E266" s="114" t="s">
        <v>430</v>
      </c>
      <c r="F266" s="114" t="s">
        <v>142</v>
      </c>
      <c r="G266" s="115"/>
    </row>
    <row r="267" spans="1:7">
      <c r="A267" s="113" t="s">
        <v>344</v>
      </c>
      <c r="B267" s="113" t="s">
        <v>440</v>
      </c>
      <c r="C267" s="113" t="s">
        <v>136</v>
      </c>
      <c r="D267" s="113" t="s">
        <v>145</v>
      </c>
      <c r="E267" s="114" t="s">
        <v>430</v>
      </c>
      <c r="F267" s="114" t="s">
        <v>142</v>
      </c>
      <c r="G267" s="115"/>
    </row>
    <row r="268" spans="1:7">
      <c r="A268" s="113" t="s">
        <v>344</v>
      </c>
      <c r="B268" s="113" t="s">
        <v>441</v>
      </c>
      <c r="C268" s="113" t="s">
        <v>197</v>
      </c>
      <c r="D268" s="113" t="s">
        <v>132</v>
      </c>
      <c r="E268" s="114"/>
      <c r="F268" s="114" t="s">
        <v>154</v>
      </c>
      <c r="G268" s="115" t="s">
        <v>442</v>
      </c>
    </row>
    <row r="269" spans="1:7">
      <c r="A269" s="113" t="s">
        <v>344</v>
      </c>
      <c r="B269" s="113" t="s">
        <v>443</v>
      </c>
      <c r="C269" s="113" t="s">
        <v>136</v>
      </c>
      <c r="D269" s="113" t="s">
        <v>145</v>
      </c>
      <c r="E269" s="114" t="s">
        <v>430</v>
      </c>
      <c r="F269" s="114" t="s">
        <v>142</v>
      </c>
      <c r="G269" s="115"/>
    </row>
    <row r="270" spans="1:7">
      <c r="A270" s="113" t="s">
        <v>344</v>
      </c>
      <c r="B270" s="113" t="s">
        <v>444</v>
      </c>
      <c r="C270" s="113" t="s">
        <v>136</v>
      </c>
      <c r="D270" s="113" t="s">
        <v>145</v>
      </c>
      <c r="E270" s="114" t="s">
        <v>430</v>
      </c>
      <c r="F270" s="114" t="s">
        <v>142</v>
      </c>
      <c r="G270" s="115"/>
    </row>
    <row r="271" spans="1:7">
      <c r="A271" s="113" t="s">
        <v>344</v>
      </c>
      <c r="B271" s="113" t="s">
        <v>445</v>
      </c>
      <c r="C271" s="113" t="s">
        <v>197</v>
      </c>
      <c r="D271" s="113" t="s">
        <v>132</v>
      </c>
      <c r="E271" s="114"/>
      <c r="F271" s="114" t="s">
        <v>154</v>
      </c>
      <c r="G271" s="115" t="s">
        <v>442</v>
      </c>
    </row>
    <row r="272" spans="1:7">
      <c r="A272" s="113" t="s">
        <v>344</v>
      </c>
      <c r="B272" s="113" t="s">
        <v>446</v>
      </c>
      <c r="C272" s="113" t="s">
        <v>136</v>
      </c>
      <c r="D272" s="113" t="s">
        <v>145</v>
      </c>
      <c r="E272" s="114" t="s">
        <v>430</v>
      </c>
      <c r="F272" s="114" t="s">
        <v>142</v>
      </c>
      <c r="G272" s="115"/>
    </row>
    <row r="273" spans="1:7">
      <c r="A273" s="113" t="s">
        <v>344</v>
      </c>
      <c r="B273" s="113" t="s">
        <v>447</v>
      </c>
      <c r="C273" s="113" t="s">
        <v>136</v>
      </c>
      <c r="D273" s="113" t="s">
        <v>145</v>
      </c>
      <c r="E273" s="114" t="s">
        <v>430</v>
      </c>
      <c r="F273" s="114" t="s">
        <v>142</v>
      </c>
      <c r="G273" s="115"/>
    </row>
    <row r="274" spans="1:7">
      <c r="A274" s="113" t="s">
        <v>448</v>
      </c>
      <c r="B274" s="113" t="s">
        <v>449</v>
      </c>
      <c r="C274" s="113" t="s">
        <v>136</v>
      </c>
      <c r="D274" s="113" t="s">
        <v>145</v>
      </c>
      <c r="E274" s="114" t="s">
        <v>450</v>
      </c>
      <c r="F274" s="114" t="s">
        <v>134</v>
      </c>
      <c r="G274" s="115"/>
    </row>
    <row r="275" spans="1:7">
      <c r="A275" s="113" t="s">
        <v>448</v>
      </c>
      <c r="B275" s="113" t="s">
        <v>451</v>
      </c>
      <c r="C275" s="113" t="s">
        <v>136</v>
      </c>
      <c r="D275" s="113" t="s">
        <v>145</v>
      </c>
      <c r="E275" s="114" t="s">
        <v>452</v>
      </c>
      <c r="F275" s="114" t="s">
        <v>134</v>
      </c>
      <c r="G275" s="115"/>
    </row>
    <row r="276" spans="1:7">
      <c r="A276" s="113" t="s">
        <v>448</v>
      </c>
      <c r="B276" s="113" t="s">
        <v>453</v>
      </c>
      <c r="C276" s="113" t="s">
        <v>136</v>
      </c>
      <c r="D276" s="113" t="s">
        <v>145</v>
      </c>
      <c r="E276" s="114" t="s">
        <v>454</v>
      </c>
      <c r="F276" s="114" t="s">
        <v>134</v>
      </c>
      <c r="G276" s="115"/>
    </row>
    <row r="277" spans="1:7">
      <c r="A277" s="113" t="s">
        <v>448</v>
      </c>
      <c r="B277" s="113" t="s">
        <v>455</v>
      </c>
      <c r="C277" s="113" t="s">
        <v>136</v>
      </c>
      <c r="D277" s="113" t="s">
        <v>132</v>
      </c>
      <c r="E277" s="114" t="s">
        <v>153</v>
      </c>
      <c r="F277" s="114" t="s">
        <v>154</v>
      </c>
      <c r="G277" s="115"/>
    </row>
    <row r="278" spans="1:7">
      <c r="A278" s="113" t="s">
        <v>448</v>
      </c>
      <c r="B278" s="113" t="s">
        <v>456</v>
      </c>
      <c r="C278" s="113" t="s">
        <v>136</v>
      </c>
      <c r="D278" s="113" t="s">
        <v>145</v>
      </c>
      <c r="E278" s="114" t="s">
        <v>457</v>
      </c>
      <c r="F278" s="114" t="s">
        <v>134</v>
      </c>
      <c r="G278" s="115"/>
    </row>
    <row r="279" spans="1:7">
      <c r="A279" s="113" t="s">
        <v>448</v>
      </c>
      <c r="B279" s="113" t="s">
        <v>458</v>
      </c>
      <c r="C279" s="113" t="s">
        <v>197</v>
      </c>
      <c r="D279" s="113" t="s">
        <v>132</v>
      </c>
      <c r="E279" s="114"/>
      <c r="F279" s="114" t="s">
        <v>134</v>
      </c>
      <c r="G279" s="115" t="s">
        <v>459</v>
      </c>
    </row>
    <row r="280" spans="1:7">
      <c r="A280" s="113" t="s">
        <v>448</v>
      </c>
      <c r="B280" s="113" t="s">
        <v>460</v>
      </c>
      <c r="C280" s="113" t="s">
        <v>197</v>
      </c>
      <c r="D280" s="113" t="s">
        <v>132</v>
      </c>
      <c r="E280" s="114"/>
      <c r="F280" s="114" t="s">
        <v>134</v>
      </c>
      <c r="G280" s="115" t="s">
        <v>459</v>
      </c>
    </row>
    <row r="281" spans="1:7">
      <c r="A281" s="113" t="s">
        <v>448</v>
      </c>
      <c r="B281" s="113" t="s">
        <v>461</v>
      </c>
      <c r="C281" s="113" t="s">
        <v>197</v>
      </c>
      <c r="D281" s="113" t="s">
        <v>132</v>
      </c>
      <c r="E281" s="114"/>
      <c r="F281" s="114" t="s">
        <v>134</v>
      </c>
      <c r="G281" s="115" t="s">
        <v>459</v>
      </c>
    </row>
    <row r="282" spans="1:7">
      <c r="A282" s="113" t="s">
        <v>448</v>
      </c>
      <c r="B282" s="113" t="s">
        <v>462</v>
      </c>
      <c r="C282" s="113" t="s">
        <v>197</v>
      </c>
      <c r="D282" s="113" t="s">
        <v>132</v>
      </c>
      <c r="E282" s="114"/>
      <c r="F282" s="114" t="s">
        <v>134</v>
      </c>
      <c r="G282" s="115" t="s">
        <v>459</v>
      </c>
    </row>
    <row r="283" spans="1:7">
      <c r="A283" s="113" t="s">
        <v>448</v>
      </c>
      <c r="B283" s="113" t="s">
        <v>463</v>
      </c>
      <c r="C283" s="113" t="s">
        <v>197</v>
      </c>
      <c r="D283" s="113" t="s">
        <v>132</v>
      </c>
      <c r="E283" s="114"/>
      <c r="F283" s="114" t="s">
        <v>134</v>
      </c>
      <c r="G283" s="115" t="s">
        <v>459</v>
      </c>
    </row>
    <row r="284" spans="1:7">
      <c r="A284" s="113" t="s">
        <v>448</v>
      </c>
      <c r="B284" s="113" t="s">
        <v>464</v>
      </c>
      <c r="C284" s="113" t="s">
        <v>136</v>
      </c>
      <c r="D284" s="113" t="s">
        <v>145</v>
      </c>
      <c r="E284" s="114" t="s">
        <v>465</v>
      </c>
      <c r="F284" s="114" t="s">
        <v>134</v>
      </c>
      <c r="G284" s="115"/>
    </row>
    <row r="285" spans="1:7">
      <c r="A285" s="113" t="s">
        <v>448</v>
      </c>
      <c r="B285" s="113" t="s">
        <v>466</v>
      </c>
      <c r="C285" s="113" t="s">
        <v>131</v>
      </c>
      <c r="D285" s="113" t="s">
        <v>132</v>
      </c>
      <c r="E285" s="114" t="s">
        <v>467</v>
      </c>
      <c r="F285" s="114" t="s">
        <v>468</v>
      </c>
      <c r="G285" s="115"/>
    </row>
    <row r="286" spans="1:7">
      <c r="A286" s="113" t="s">
        <v>448</v>
      </c>
      <c r="B286" s="113" t="s">
        <v>469</v>
      </c>
      <c r="C286" s="113" t="s">
        <v>131</v>
      </c>
      <c r="D286" s="113" t="s">
        <v>132</v>
      </c>
      <c r="E286" s="114" t="s">
        <v>467</v>
      </c>
      <c r="F286" s="114" t="s">
        <v>142</v>
      </c>
      <c r="G286" s="115"/>
    </row>
    <row r="287" spans="1:7">
      <c r="A287" s="113" t="s">
        <v>448</v>
      </c>
      <c r="B287" s="113" t="s">
        <v>470</v>
      </c>
      <c r="C287" s="113" t="s">
        <v>197</v>
      </c>
      <c r="D287" s="113" t="s">
        <v>132</v>
      </c>
      <c r="E287" s="114"/>
      <c r="F287" s="114" t="s">
        <v>134</v>
      </c>
      <c r="G287" s="115" t="s">
        <v>459</v>
      </c>
    </row>
    <row r="288" spans="1:7">
      <c r="A288" s="113" t="s">
        <v>448</v>
      </c>
      <c r="B288" s="113" t="s">
        <v>471</v>
      </c>
      <c r="C288" s="113" t="s">
        <v>136</v>
      </c>
      <c r="D288" s="113" t="s">
        <v>162</v>
      </c>
      <c r="E288" s="114"/>
      <c r="F288" s="114" t="s">
        <v>138</v>
      </c>
      <c r="G288" s="115"/>
    </row>
    <row r="289" spans="1:7">
      <c r="A289" s="113" t="s">
        <v>448</v>
      </c>
      <c r="B289" s="113" t="s">
        <v>472</v>
      </c>
      <c r="C289" s="113" t="s">
        <v>136</v>
      </c>
      <c r="D289" s="113" t="s">
        <v>132</v>
      </c>
      <c r="E289" s="114" t="s">
        <v>257</v>
      </c>
      <c r="F289" s="114" t="s">
        <v>142</v>
      </c>
      <c r="G289" s="115"/>
    </row>
    <row r="290" spans="1:7">
      <c r="A290" s="113" t="s">
        <v>448</v>
      </c>
      <c r="B290" s="113" t="s">
        <v>473</v>
      </c>
      <c r="C290" s="113" t="s">
        <v>136</v>
      </c>
      <c r="D290" s="113" t="s">
        <v>251</v>
      </c>
      <c r="E290" s="114" t="s">
        <v>257</v>
      </c>
      <c r="F290" s="114" t="s">
        <v>134</v>
      </c>
      <c r="G290" s="115" t="s">
        <v>474</v>
      </c>
    </row>
    <row r="291" spans="1:7">
      <c r="A291" s="113" t="s">
        <v>448</v>
      </c>
      <c r="B291" s="113" t="s">
        <v>475</v>
      </c>
      <c r="C291" s="113" t="s">
        <v>136</v>
      </c>
      <c r="D291" s="113" t="s">
        <v>132</v>
      </c>
      <c r="E291" s="114" t="s">
        <v>257</v>
      </c>
      <c r="F291" s="114" t="s">
        <v>142</v>
      </c>
      <c r="G291" s="115"/>
    </row>
    <row r="292" spans="1:7">
      <c r="A292" s="113" t="s">
        <v>448</v>
      </c>
      <c r="B292" s="113" t="s">
        <v>476</v>
      </c>
      <c r="C292" s="113" t="s">
        <v>136</v>
      </c>
      <c r="D292" s="113" t="s">
        <v>251</v>
      </c>
      <c r="E292" s="114" t="s">
        <v>257</v>
      </c>
      <c r="F292" s="114" t="s">
        <v>134</v>
      </c>
      <c r="G292" s="115"/>
    </row>
    <row r="293" spans="1:7">
      <c r="A293" s="113" t="s">
        <v>448</v>
      </c>
      <c r="B293" s="113" t="s">
        <v>477</v>
      </c>
      <c r="C293" s="113" t="s">
        <v>136</v>
      </c>
      <c r="D293" s="113" t="s">
        <v>251</v>
      </c>
      <c r="E293" s="114" t="s">
        <v>257</v>
      </c>
      <c r="F293" s="114" t="s">
        <v>142</v>
      </c>
      <c r="G293" s="115"/>
    </row>
    <row r="294" spans="1:7">
      <c r="A294" s="113" t="s">
        <v>448</v>
      </c>
      <c r="B294" s="113" t="s">
        <v>478</v>
      </c>
      <c r="C294" s="113" t="s">
        <v>136</v>
      </c>
      <c r="D294" s="113" t="s">
        <v>251</v>
      </c>
      <c r="E294" s="114" t="s">
        <v>257</v>
      </c>
      <c r="F294" s="114" t="s">
        <v>142</v>
      </c>
      <c r="G294" s="115"/>
    </row>
    <row r="295" spans="1:7">
      <c r="A295" s="113" t="s">
        <v>448</v>
      </c>
      <c r="B295" s="113" t="s">
        <v>479</v>
      </c>
      <c r="C295" s="113" t="s">
        <v>136</v>
      </c>
      <c r="D295" s="113" t="s">
        <v>251</v>
      </c>
      <c r="E295" s="114" t="s">
        <v>257</v>
      </c>
      <c r="F295" s="114" t="s">
        <v>134</v>
      </c>
      <c r="G295" s="115"/>
    </row>
    <row r="296" spans="1:7">
      <c r="A296" s="113" t="s">
        <v>448</v>
      </c>
      <c r="B296" s="113" t="s">
        <v>480</v>
      </c>
      <c r="C296" s="113" t="s">
        <v>136</v>
      </c>
      <c r="D296" s="113" t="s">
        <v>251</v>
      </c>
      <c r="E296" s="114" t="s">
        <v>257</v>
      </c>
      <c r="F296" s="114" t="s">
        <v>142</v>
      </c>
      <c r="G296" s="115"/>
    </row>
    <row r="297" spans="1:7">
      <c r="A297" s="113" t="s">
        <v>448</v>
      </c>
      <c r="B297" s="113" t="s">
        <v>481</v>
      </c>
      <c r="C297" s="113" t="s">
        <v>136</v>
      </c>
      <c r="D297" s="113" t="s">
        <v>251</v>
      </c>
      <c r="E297" s="114" t="s">
        <v>252</v>
      </c>
      <c r="F297" s="114" t="s">
        <v>134</v>
      </c>
      <c r="G297" s="115"/>
    </row>
    <row r="298" spans="1:7">
      <c r="A298" s="113" t="s">
        <v>448</v>
      </c>
      <c r="B298" s="113" t="s">
        <v>482</v>
      </c>
      <c r="C298" s="113" t="s">
        <v>136</v>
      </c>
      <c r="D298" s="113" t="s">
        <v>251</v>
      </c>
      <c r="E298" s="114" t="s">
        <v>252</v>
      </c>
      <c r="F298" s="114" t="s">
        <v>134</v>
      </c>
      <c r="G298" s="115"/>
    </row>
    <row r="299" spans="1:7">
      <c r="A299" s="113" t="s">
        <v>448</v>
      </c>
      <c r="B299" s="113" t="s">
        <v>483</v>
      </c>
      <c r="C299" s="113" t="s">
        <v>136</v>
      </c>
      <c r="D299" s="113" t="s">
        <v>251</v>
      </c>
      <c r="E299" s="114" t="s">
        <v>252</v>
      </c>
      <c r="F299" s="114" t="s">
        <v>134</v>
      </c>
      <c r="G299" s="115"/>
    </row>
    <row r="300" spans="1:7">
      <c r="A300" s="113" t="s">
        <v>448</v>
      </c>
      <c r="B300" s="113" t="s">
        <v>484</v>
      </c>
      <c r="C300" s="113" t="s">
        <v>136</v>
      </c>
      <c r="D300" s="113" t="s">
        <v>251</v>
      </c>
      <c r="E300" s="114" t="s">
        <v>252</v>
      </c>
      <c r="F300" s="114" t="s">
        <v>142</v>
      </c>
      <c r="G300" s="115"/>
    </row>
    <row r="301" spans="1:7">
      <c r="A301" s="113" t="s">
        <v>448</v>
      </c>
      <c r="B301" s="113" t="s">
        <v>485</v>
      </c>
      <c r="C301" s="113" t="s">
        <v>136</v>
      </c>
      <c r="D301" s="113" t="s">
        <v>251</v>
      </c>
      <c r="E301" s="114" t="s">
        <v>252</v>
      </c>
      <c r="F301" s="114" t="s">
        <v>134</v>
      </c>
      <c r="G301" s="115"/>
    </row>
    <row r="302" spans="1:7">
      <c r="A302" s="113" t="s">
        <v>448</v>
      </c>
      <c r="B302" s="113" t="s">
        <v>486</v>
      </c>
      <c r="C302" s="113" t="s">
        <v>136</v>
      </c>
      <c r="D302" s="113" t="s">
        <v>251</v>
      </c>
      <c r="E302" s="114" t="s">
        <v>252</v>
      </c>
      <c r="F302" s="114" t="s">
        <v>142</v>
      </c>
      <c r="G302" s="115"/>
    </row>
    <row r="303" spans="1:7">
      <c r="A303" s="113" t="s">
        <v>448</v>
      </c>
      <c r="B303" s="113" t="s">
        <v>487</v>
      </c>
      <c r="C303" s="113" t="s">
        <v>136</v>
      </c>
      <c r="D303" s="113" t="s">
        <v>145</v>
      </c>
      <c r="E303" s="114" t="s">
        <v>488</v>
      </c>
      <c r="F303" s="114" t="s">
        <v>134</v>
      </c>
      <c r="G303" s="115"/>
    </row>
    <row r="304" spans="1:7">
      <c r="A304" s="113" t="s">
        <v>448</v>
      </c>
      <c r="B304" s="113" t="s">
        <v>489</v>
      </c>
      <c r="C304" s="113" t="s">
        <v>136</v>
      </c>
      <c r="D304" s="113" t="s">
        <v>162</v>
      </c>
      <c r="E304" s="114"/>
      <c r="F304" s="114" t="s">
        <v>138</v>
      </c>
      <c r="G304" s="115"/>
    </row>
    <row r="305" spans="1:7">
      <c r="A305" s="113" t="s">
        <v>448</v>
      </c>
      <c r="B305" s="113" t="s">
        <v>490</v>
      </c>
      <c r="C305" s="113" t="s">
        <v>136</v>
      </c>
      <c r="D305" s="113" t="s">
        <v>251</v>
      </c>
      <c r="E305" s="114" t="s">
        <v>252</v>
      </c>
      <c r="F305" s="114" t="s">
        <v>142</v>
      </c>
      <c r="G305" s="115"/>
    </row>
    <row r="306" spans="1:7">
      <c r="A306" s="113" t="s">
        <v>448</v>
      </c>
      <c r="B306" s="113" t="s">
        <v>491</v>
      </c>
      <c r="C306" s="113" t="s">
        <v>136</v>
      </c>
      <c r="D306" s="113" t="s">
        <v>132</v>
      </c>
      <c r="E306" s="114" t="s">
        <v>252</v>
      </c>
      <c r="F306" s="114" t="s">
        <v>142</v>
      </c>
      <c r="G306" s="115"/>
    </row>
    <row r="307" spans="1:7">
      <c r="A307" s="113" t="s">
        <v>448</v>
      </c>
      <c r="B307" s="113" t="s">
        <v>492</v>
      </c>
      <c r="C307" s="113" t="s">
        <v>136</v>
      </c>
      <c r="D307" s="113" t="s">
        <v>132</v>
      </c>
      <c r="E307" s="114" t="s">
        <v>252</v>
      </c>
      <c r="F307" s="114" t="s">
        <v>142</v>
      </c>
      <c r="G307" s="115"/>
    </row>
    <row r="308" spans="1:7">
      <c r="A308" s="113" t="s">
        <v>448</v>
      </c>
      <c r="B308" s="113" t="s">
        <v>493</v>
      </c>
      <c r="C308" s="113" t="s">
        <v>136</v>
      </c>
      <c r="D308" s="113" t="s">
        <v>132</v>
      </c>
      <c r="E308" s="114" t="s">
        <v>252</v>
      </c>
      <c r="F308" s="114" t="s">
        <v>142</v>
      </c>
      <c r="G308" s="115"/>
    </row>
    <row r="309" spans="1:7">
      <c r="A309" s="113" t="s">
        <v>448</v>
      </c>
      <c r="B309" s="113" t="s">
        <v>494</v>
      </c>
      <c r="C309" s="113" t="s">
        <v>136</v>
      </c>
      <c r="D309" s="113" t="s">
        <v>251</v>
      </c>
      <c r="E309" s="114" t="s">
        <v>252</v>
      </c>
      <c r="F309" s="114" t="s">
        <v>142</v>
      </c>
      <c r="G309" s="115"/>
    </row>
    <row r="310" spans="1:7">
      <c r="A310" s="113" t="s">
        <v>448</v>
      </c>
      <c r="B310" s="113" t="s">
        <v>495</v>
      </c>
      <c r="C310" s="113" t="s">
        <v>136</v>
      </c>
      <c r="D310" s="113" t="s">
        <v>251</v>
      </c>
      <c r="E310" s="114" t="s">
        <v>252</v>
      </c>
      <c r="F310" s="114" t="s">
        <v>134</v>
      </c>
      <c r="G310" s="115"/>
    </row>
    <row r="311" spans="1:7">
      <c r="A311" s="113" t="s">
        <v>448</v>
      </c>
      <c r="B311" s="113" t="s">
        <v>496</v>
      </c>
      <c r="C311" s="113" t="s">
        <v>141</v>
      </c>
      <c r="D311" s="113" t="s">
        <v>132</v>
      </c>
      <c r="E311" s="114"/>
      <c r="F311" s="114" t="s">
        <v>142</v>
      </c>
      <c r="G311" s="115"/>
    </row>
    <row r="312" spans="1:7">
      <c r="A312" s="113" t="s">
        <v>448</v>
      </c>
      <c r="B312" s="113" t="s">
        <v>497</v>
      </c>
      <c r="C312" s="113" t="s">
        <v>136</v>
      </c>
      <c r="D312" s="113" t="s">
        <v>162</v>
      </c>
      <c r="E312" s="114"/>
      <c r="F312" s="114" t="s">
        <v>138</v>
      </c>
      <c r="G312" s="115"/>
    </row>
    <row r="313" spans="1:7">
      <c r="A313" s="113" t="s">
        <v>448</v>
      </c>
      <c r="B313" s="113" t="s">
        <v>498</v>
      </c>
      <c r="C313" s="113" t="s">
        <v>136</v>
      </c>
      <c r="D313" s="113" t="s">
        <v>145</v>
      </c>
      <c r="E313" s="114"/>
      <c r="F313" s="114" t="s">
        <v>142</v>
      </c>
      <c r="G313" s="115"/>
    </row>
    <row r="314" spans="1:7">
      <c r="A314" s="113" t="s">
        <v>448</v>
      </c>
      <c r="B314" s="113" t="s">
        <v>499</v>
      </c>
      <c r="C314" s="113" t="s">
        <v>136</v>
      </c>
      <c r="D314" s="113" t="s">
        <v>145</v>
      </c>
      <c r="E314" s="114"/>
      <c r="F314" s="114" t="s">
        <v>142</v>
      </c>
      <c r="G314" s="115"/>
    </row>
    <row r="315" spans="1:7">
      <c r="A315" s="113" t="s">
        <v>448</v>
      </c>
      <c r="B315" s="113" t="s">
        <v>500</v>
      </c>
      <c r="C315" s="113" t="s">
        <v>136</v>
      </c>
      <c r="D315" s="113" t="s">
        <v>145</v>
      </c>
      <c r="E315" s="114"/>
      <c r="F315" s="114" t="s">
        <v>142</v>
      </c>
      <c r="G315" s="115"/>
    </row>
    <row r="316" spans="1:7">
      <c r="A316" s="113" t="s">
        <v>448</v>
      </c>
      <c r="B316" s="113" t="s">
        <v>501</v>
      </c>
      <c r="C316" s="113" t="s">
        <v>136</v>
      </c>
      <c r="D316" s="113" t="s">
        <v>145</v>
      </c>
      <c r="E316" s="114"/>
      <c r="F316" s="114" t="s">
        <v>142</v>
      </c>
      <c r="G316" s="115"/>
    </row>
    <row r="317" spans="1:7">
      <c r="A317" s="113" t="s">
        <v>448</v>
      </c>
      <c r="B317" s="113" t="s">
        <v>502</v>
      </c>
      <c r="C317" s="113" t="s">
        <v>136</v>
      </c>
      <c r="D317" s="113" t="s">
        <v>145</v>
      </c>
      <c r="E317" s="114"/>
      <c r="F317" s="114" t="s">
        <v>142</v>
      </c>
      <c r="G317" s="115"/>
    </row>
    <row r="318" spans="1:7">
      <c r="A318" s="113" t="s">
        <v>448</v>
      </c>
      <c r="B318" s="113" t="s">
        <v>503</v>
      </c>
      <c r="C318" s="113" t="s">
        <v>136</v>
      </c>
      <c r="D318" s="113" t="s">
        <v>132</v>
      </c>
      <c r="E318" s="114"/>
      <c r="F318" s="114" t="s">
        <v>142</v>
      </c>
      <c r="G318" s="115"/>
    </row>
    <row r="319" spans="1:7">
      <c r="A319" s="113" t="s">
        <v>448</v>
      </c>
      <c r="B319" s="113" t="s">
        <v>504</v>
      </c>
      <c r="C319" s="113" t="s">
        <v>136</v>
      </c>
      <c r="D319" s="113" t="s">
        <v>162</v>
      </c>
      <c r="E319" s="114"/>
      <c r="F319" s="114" t="s">
        <v>138</v>
      </c>
      <c r="G319" s="115"/>
    </row>
    <row r="320" spans="1:7">
      <c r="A320" s="113" t="s">
        <v>448</v>
      </c>
      <c r="B320" s="113" t="s">
        <v>505</v>
      </c>
      <c r="C320" s="113" t="s">
        <v>131</v>
      </c>
      <c r="D320" s="113" t="s">
        <v>251</v>
      </c>
      <c r="E320" s="114" t="s">
        <v>506</v>
      </c>
      <c r="F320" s="114" t="s">
        <v>142</v>
      </c>
      <c r="G320" s="115"/>
    </row>
    <row r="321" spans="1:9">
      <c r="A321" s="113" t="s">
        <v>448</v>
      </c>
      <c r="B321" s="113" t="s">
        <v>507</v>
      </c>
      <c r="C321" s="113" t="s">
        <v>131</v>
      </c>
      <c r="D321" s="113" t="s">
        <v>145</v>
      </c>
      <c r="E321" s="114" t="s">
        <v>508</v>
      </c>
      <c r="F321" s="114" t="s">
        <v>134</v>
      </c>
      <c r="G321" s="115"/>
    </row>
    <row r="322" spans="1:9">
      <c r="A322" s="113" t="s">
        <v>448</v>
      </c>
      <c r="B322" s="113" t="s">
        <v>509</v>
      </c>
      <c r="C322" s="113" t="s">
        <v>131</v>
      </c>
      <c r="D322" s="113" t="s">
        <v>145</v>
      </c>
      <c r="E322" s="114" t="s">
        <v>467</v>
      </c>
      <c r="F322" s="114" t="s">
        <v>134</v>
      </c>
      <c r="G322" s="115"/>
    </row>
    <row r="323" spans="1:9">
      <c r="A323" s="113" t="s">
        <v>448</v>
      </c>
      <c r="B323" s="113" t="s">
        <v>510</v>
      </c>
      <c r="C323" s="113" t="s">
        <v>131</v>
      </c>
      <c r="D323" s="113" t="s">
        <v>145</v>
      </c>
      <c r="E323" s="114" t="s">
        <v>467</v>
      </c>
      <c r="F323" s="114" t="s">
        <v>134</v>
      </c>
      <c r="G323" s="115"/>
    </row>
    <row r="324" spans="1:9">
      <c r="A324" s="113" t="s">
        <v>448</v>
      </c>
      <c r="B324" s="113" t="s">
        <v>511</v>
      </c>
      <c r="C324" s="113" t="s">
        <v>131</v>
      </c>
      <c r="D324" s="113" t="s">
        <v>145</v>
      </c>
      <c r="E324" s="114" t="s">
        <v>467</v>
      </c>
      <c r="F324" s="114" t="s">
        <v>134</v>
      </c>
      <c r="G324" s="115"/>
    </row>
    <row r="325" spans="1:9">
      <c r="A325" s="113" t="s">
        <v>448</v>
      </c>
      <c r="B325" s="113" t="s">
        <v>512</v>
      </c>
      <c r="C325" s="113" t="s">
        <v>131</v>
      </c>
      <c r="D325" s="113" t="s">
        <v>145</v>
      </c>
      <c r="E325" s="114" t="s">
        <v>467</v>
      </c>
      <c r="F325" s="114" t="s">
        <v>134</v>
      </c>
      <c r="G325" s="115"/>
    </row>
    <row r="326" spans="1:9">
      <c r="A326" s="113" t="s">
        <v>448</v>
      </c>
      <c r="B326" s="113" t="s">
        <v>513</v>
      </c>
      <c r="C326" s="113" t="s">
        <v>131</v>
      </c>
      <c r="D326" s="113" t="s">
        <v>145</v>
      </c>
      <c r="E326" s="114" t="s">
        <v>508</v>
      </c>
      <c r="F326" s="114" t="s">
        <v>134</v>
      </c>
      <c r="G326" s="115"/>
    </row>
    <row r="327" spans="1:9">
      <c r="A327" s="113" t="s">
        <v>448</v>
      </c>
      <c r="B327" s="113" t="s">
        <v>514</v>
      </c>
      <c r="C327" s="113" t="s">
        <v>136</v>
      </c>
      <c r="D327" s="113" t="s">
        <v>162</v>
      </c>
      <c r="E327" s="114"/>
      <c r="F327" s="114" t="s">
        <v>138</v>
      </c>
      <c r="G327" s="115"/>
    </row>
    <row r="328" spans="1:9">
      <c r="A328" s="113" t="s">
        <v>448</v>
      </c>
      <c r="B328" s="113" t="s">
        <v>515</v>
      </c>
      <c r="C328" s="113" t="s">
        <v>136</v>
      </c>
      <c r="D328" s="113" t="s">
        <v>132</v>
      </c>
      <c r="E328" s="114"/>
      <c r="F328" s="114" t="s">
        <v>138</v>
      </c>
      <c r="G328" s="115"/>
      <c r="H328" s="105"/>
      <c r="I328" s="105"/>
    </row>
    <row r="329" spans="1:9">
      <c r="A329" s="113" t="s">
        <v>448</v>
      </c>
      <c r="B329" s="113" t="s">
        <v>516</v>
      </c>
      <c r="C329" s="113" t="s">
        <v>141</v>
      </c>
      <c r="D329" s="113" t="s">
        <v>517</v>
      </c>
      <c r="E329" s="114"/>
      <c r="F329" s="114" t="s">
        <v>142</v>
      </c>
      <c r="G329" s="115"/>
      <c r="H329" s="105"/>
      <c r="I329" s="105"/>
    </row>
    <row r="330" spans="1:9">
      <c r="A330" s="113" t="s">
        <v>448</v>
      </c>
      <c r="B330" s="113" t="s">
        <v>518</v>
      </c>
      <c r="C330" s="113" t="s">
        <v>136</v>
      </c>
      <c r="D330" s="113" t="s">
        <v>132</v>
      </c>
      <c r="E330" s="114"/>
      <c r="F330" s="114" t="s">
        <v>138</v>
      </c>
      <c r="G330" s="115"/>
      <c r="H330" s="105"/>
      <c r="I330" s="105"/>
    </row>
    <row r="331" spans="1:9">
      <c r="A331" s="113" t="s">
        <v>448</v>
      </c>
      <c r="B331" s="113" t="s">
        <v>519</v>
      </c>
      <c r="C331" s="113" t="s">
        <v>136</v>
      </c>
      <c r="D331" s="113" t="s">
        <v>132</v>
      </c>
      <c r="E331" s="114" t="s">
        <v>352</v>
      </c>
      <c r="F331" s="114" t="s">
        <v>134</v>
      </c>
      <c r="G331" s="115"/>
    </row>
    <row r="332" spans="1:9">
      <c r="A332" s="113" t="s">
        <v>448</v>
      </c>
      <c r="B332" s="113" t="s">
        <v>520</v>
      </c>
      <c r="C332" s="113" t="s">
        <v>136</v>
      </c>
      <c r="D332" s="113" t="s">
        <v>132</v>
      </c>
      <c r="E332" s="114" t="s">
        <v>252</v>
      </c>
      <c r="F332" s="114" t="s">
        <v>142</v>
      </c>
      <c r="G332" s="115"/>
    </row>
    <row r="333" spans="1:9">
      <c r="A333" s="113" t="s">
        <v>448</v>
      </c>
      <c r="B333" s="113" t="s">
        <v>521</v>
      </c>
      <c r="C333" s="113" t="s">
        <v>136</v>
      </c>
      <c r="D333" s="113" t="s">
        <v>132</v>
      </c>
      <c r="E333" s="114" t="s">
        <v>252</v>
      </c>
      <c r="F333" s="114" t="s">
        <v>142</v>
      </c>
      <c r="G333" s="115"/>
    </row>
    <row r="334" spans="1:9">
      <c r="A334" s="113" t="s">
        <v>448</v>
      </c>
      <c r="B334" s="113" t="s">
        <v>522</v>
      </c>
      <c r="C334" s="113" t="s">
        <v>136</v>
      </c>
      <c r="D334" s="113" t="s">
        <v>251</v>
      </c>
      <c r="E334" s="114" t="s">
        <v>252</v>
      </c>
      <c r="F334" s="114" t="s">
        <v>134</v>
      </c>
      <c r="G334" s="115"/>
    </row>
    <row r="335" spans="1:9">
      <c r="A335" s="113" t="s">
        <v>448</v>
      </c>
      <c r="B335" s="113" t="s">
        <v>523</v>
      </c>
      <c r="C335" s="113" t="s">
        <v>136</v>
      </c>
      <c r="D335" s="113" t="s">
        <v>162</v>
      </c>
      <c r="E335" s="114"/>
      <c r="F335" s="114" t="s">
        <v>138</v>
      </c>
      <c r="G335" s="115"/>
    </row>
    <row r="336" spans="1:9">
      <c r="A336" s="113" t="s">
        <v>448</v>
      </c>
      <c r="B336" s="113" t="s">
        <v>524</v>
      </c>
      <c r="C336" s="113" t="s">
        <v>136</v>
      </c>
      <c r="D336" s="113" t="s">
        <v>132</v>
      </c>
      <c r="E336" s="114" t="s">
        <v>185</v>
      </c>
      <c r="F336" s="114" t="s">
        <v>142</v>
      </c>
      <c r="G336" s="115"/>
    </row>
    <row r="337" spans="1:8">
      <c r="A337" s="113" t="s">
        <v>448</v>
      </c>
      <c r="B337" s="113" t="s">
        <v>525</v>
      </c>
      <c r="C337" s="113" t="s">
        <v>136</v>
      </c>
      <c r="D337" s="113" t="s">
        <v>132</v>
      </c>
      <c r="E337" s="114" t="s">
        <v>185</v>
      </c>
      <c r="F337" s="114" t="s">
        <v>142</v>
      </c>
      <c r="G337" s="115"/>
    </row>
    <row r="338" spans="1:8" s="106" customFormat="1">
      <c r="A338" s="113" t="s">
        <v>448</v>
      </c>
      <c r="B338" s="113" t="s">
        <v>526</v>
      </c>
      <c r="C338" s="113" t="s">
        <v>136</v>
      </c>
      <c r="D338" s="113" t="s">
        <v>132</v>
      </c>
      <c r="E338" s="114" t="s">
        <v>185</v>
      </c>
      <c r="F338" s="114" t="s">
        <v>142</v>
      </c>
      <c r="G338" s="115"/>
    </row>
    <row r="339" spans="1:8">
      <c r="A339" s="113" t="s">
        <v>448</v>
      </c>
      <c r="B339" s="113" t="s">
        <v>527</v>
      </c>
      <c r="C339" s="113" t="s">
        <v>136</v>
      </c>
      <c r="D339" s="113" t="s">
        <v>132</v>
      </c>
      <c r="E339" s="114" t="s">
        <v>185</v>
      </c>
      <c r="F339" s="114" t="s">
        <v>142</v>
      </c>
      <c r="G339" s="115"/>
    </row>
    <row r="340" spans="1:8">
      <c r="A340" s="113" t="s">
        <v>448</v>
      </c>
      <c r="B340" s="113" t="s">
        <v>528</v>
      </c>
      <c r="C340" s="113" t="s">
        <v>136</v>
      </c>
      <c r="D340" s="113" t="s">
        <v>132</v>
      </c>
      <c r="E340" s="114" t="s">
        <v>185</v>
      </c>
      <c r="F340" s="114" t="s">
        <v>142</v>
      </c>
      <c r="G340" s="115"/>
    </row>
    <row r="341" spans="1:8">
      <c r="A341" s="113" t="s">
        <v>448</v>
      </c>
      <c r="B341" s="113" t="s">
        <v>529</v>
      </c>
      <c r="C341" s="113" t="s">
        <v>197</v>
      </c>
      <c r="D341" s="113" t="s">
        <v>132</v>
      </c>
      <c r="E341" s="114" t="s">
        <v>185</v>
      </c>
      <c r="F341" s="114" t="s">
        <v>142</v>
      </c>
      <c r="G341" s="115" t="s">
        <v>530</v>
      </c>
    </row>
    <row r="342" spans="1:8">
      <c r="A342" s="113" t="s">
        <v>448</v>
      </c>
      <c r="B342" s="113" t="s">
        <v>531</v>
      </c>
      <c r="C342" s="113" t="s">
        <v>197</v>
      </c>
      <c r="D342" s="113" t="s">
        <v>132</v>
      </c>
      <c r="E342" s="114" t="s">
        <v>185</v>
      </c>
      <c r="F342" s="114" t="s">
        <v>142</v>
      </c>
      <c r="G342" s="115" t="s">
        <v>530</v>
      </c>
    </row>
    <row r="343" spans="1:8">
      <c r="A343" s="113" t="s">
        <v>448</v>
      </c>
      <c r="B343" s="113" t="s">
        <v>532</v>
      </c>
      <c r="C343" s="113" t="s">
        <v>136</v>
      </c>
      <c r="D343" s="113" t="s">
        <v>132</v>
      </c>
      <c r="E343" s="114"/>
      <c r="F343" s="114" t="s">
        <v>138</v>
      </c>
      <c r="G343" s="115"/>
    </row>
    <row r="344" spans="1:8">
      <c r="A344" s="113" t="s">
        <v>448</v>
      </c>
      <c r="B344" s="113" t="s">
        <v>533</v>
      </c>
      <c r="C344" s="113" t="s">
        <v>136</v>
      </c>
      <c r="D344" s="113" t="s">
        <v>132</v>
      </c>
      <c r="E344" s="114" t="s">
        <v>257</v>
      </c>
      <c r="F344" s="114" t="s">
        <v>142</v>
      </c>
      <c r="G344" s="115"/>
    </row>
    <row r="345" spans="1:8">
      <c r="A345" s="113" t="s">
        <v>448</v>
      </c>
      <c r="B345" s="113" t="s">
        <v>534</v>
      </c>
      <c r="C345" s="113" t="s">
        <v>131</v>
      </c>
      <c r="D345" s="113" t="s">
        <v>251</v>
      </c>
      <c r="E345" s="114" t="s">
        <v>506</v>
      </c>
      <c r="F345" s="114" t="s">
        <v>142</v>
      </c>
      <c r="G345" s="115"/>
    </row>
    <row r="346" spans="1:8">
      <c r="A346" s="113" t="s">
        <v>448</v>
      </c>
      <c r="B346" s="113" t="s">
        <v>535</v>
      </c>
      <c r="C346" s="113" t="s">
        <v>131</v>
      </c>
      <c r="D346" s="113" t="s">
        <v>132</v>
      </c>
      <c r="E346" s="114" t="s">
        <v>506</v>
      </c>
      <c r="F346" s="114" t="s">
        <v>142</v>
      </c>
      <c r="G346" s="115"/>
    </row>
    <row r="347" spans="1:8">
      <c r="A347" s="113" t="s">
        <v>448</v>
      </c>
      <c r="B347" s="113" t="s">
        <v>536</v>
      </c>
      <c r="C347" s="113" t="s">
        <v>136</v>
      </c>
      <c r="D347" s="113" t="s">
        <v>132</v>
      </c>
      <c r="E347" s="114" t="s">
        <v>185</v>
      </c>
      <c r="F347" s="114" t="s">
        <v>142</v>
      </c>
      <c r="G347" s="115"/>
    </row>
    <row r="348" spans="1:8">
      <c r="A348" s="113" t="s">
        <v>448</v>
      </c>
      <c r="B348" s="113" t="s">
        <v>537</v>
      </c>
      <c r="C348" s="113" t="s">
        <v>136</v>
      </c>
      <c r="D348" s="113" t="s">
        <v>132</v>
      </c>
      <c r="E348" s="118" t="s">
        <v>185</v>
      </c>
      <c r="F348" s="114" t="s">
        <v>142</v>
      </c>
      <c r="G348" s="115"/>
      <c r="H348" s="105"/>
    </row>
    <row r="349" spans="1:8">
      <c r="A349" s="113" t="s">
        <v>448</v>
      </c>
      <c r="B349" s="113" t="s">
        <v>538</v>
      </c>
      <c r="C349" s="113" t="s">
        <v>197</v>
      </c>
      <c r="D349" s="113" t="s">
        <v>132</v>
      </c>
      <c r="E349" s="114" t="s">
        <v>185</v>
      </c>
      <c r="F349" s="114" t="s">
        <v>142</v>
      </c>
      <c r="G349" s="115" t="s">
        <v>530</v>
      </c>
      <c r="H349" s="105"/>
    </row>
    <row r="350" spans="1:8">
      <c r="A350" s="113" t="s">
        <v>448</v>
      </c>
      <c r="B350" s="113" t="s">
        <v>539</v>
      </c>
      <c r="C350" s="113" t="s">
        <v>197</v>
      </c>
      <c r="D350" s="113" t="s">
        <v>132</v>
      </c>
      <c r="E350" s="114" t="s">
        <v>185</v>
      </c>
      <c r="F350" s="114" t="s">
        <v>142</v>
      </c>
      <c r="G350" s="115" t="s">
        <v>530</v>
      </c>
      <c r="H350" s="105"/>
    </row>
    <row r="351" spans="1:8">
      <c r="A351" s="113" t="s">
        <v>448</v>
      </c>
      <c r="B351" s="113" t="s">
        <v>540</v>
      </c>
      <c r="C351" s="113" t="s">
        <v>197</v>
      </c>
      <c r="D351" s="113" t="s">
        <v>132</v>
      </c>
      <c r="E351" s="114" t="s">
        <v>185</v>
      </c>
      <c r="F351" s="114" t="s">
        <v>142</v>
      </c>
      <c r="G351" s="115" t="s">
        <v>530</v>
      </c>
      <c r="H351" s="105"/>
    </row>
    <row r="352" spans="1:8">
      <c r="A352" s="113" t="s">
        <v>448</v>
      </c>
      <c r="B352" s="113" t="s">
        <v>541</v>
      </c>
      <c r="C352" s="113" t="s">
        <v>131</v>
      </c>
      <c r="D352" s="113" t="s">
        <v>132</v>
      </c>
      <c r="E352" s="114" t="s">
        <v>542</v>
      </c>
      <c r="F352" s="114" t="s">
        <v>142</v>
      </c>
      <c r="G352" s="115"/>
      <c r="H352" s="105"/>
    </row>
    <row r="353" spans="1:16">
      <c r="A353" s="113" t="s">
        <v>448</v>
      </c>
      <c r="B353" s="113" t="s">
        <v>543</v>
      </c>
      <c r="C353" s="113" t="s">
        <v>131</v>
      </c>
      <c r="D353" s="113" t="s">
        <v>251</v>
      </c>
      <c r="E353" s="114" t="s">
        <v>542</v>
      </c>
      <c r="F353" s="114" t="s">
        <v>142</v>
      </c>
      <c r="G353" s="115"/>
    </row>
    <row r="354" spans="1:16">
      <c r="A354" s="113" t="s">
        <v>448</v>
      </c>
      <c r="B354" s="113" t="s">
        <v>544</v>
      </c>
      <c r="C354" s="113" t="s">
        <v>131</v>
      </c>
      <c r="D354" s="113" t="s">
        <v>132</v>
      </c>
      <c r="E354" s="114" t="s">
        <v>542</v>
      </c>
      <c r="F354" s="114" t="s">
        <v>142</v>
      </c>
      <c r="G354" s="115"/>
    </row>
    <row r="355" spans="1:16">
      <c r="A355" s="113" t="s">
        <v>448</v>
      </c>
      <c r="B355" s="113" t="s">
        <v>545</v>
      </c>
      <c r="C355" s="113" t="s">
        <v>131</v>
      </c>
      <c r="D355" s="113" t="s">
        <v>251</v>
      </c>
      <c r="E355" s="114" t="s">
        <v>542</v>
      </c>
      <c r="F355" s="114" t="s">
        <v>142</v>
      </c>
      <c r="G355" s="115"/>
    </row>
    <row r="356" spans="1:16">
      <c r="A356" s="113" t="s">
        <v>448</v>
      </c>
      <c r="B356" s="113" t="s">
        <v>546</v>
      </c>
      <c r="C356" s="113" t="s">
        <v>131</v>
      </c>
      <c r="D356" s="113" t="s">
        <v>251</v>
      </c>
      <c r="E356" s="114" t="s">
        <v>542</v>
      </c>
      <c r="F356" s="114" t="s">
        <v>142</v>
      </c>
      <c r="G356" s="115"/>
    </row>
    <row r="357" spans="1:16">
      <c r="A357" s="113" t="s">
        <v>448</v>
      </c>
      <c r="B357" s="113" t="s">
        <v>547</v>
      </c>
      <c r="C357" s="113" t="s">
        <v>131</v>
      </c>
      <c r="D357" s="113" t="s">
        <v>251</v>
      </c>
      <c r="E357" s="114" t="s">
        <v>542</v>
      </c>
      <c r="F357" s="114" t="s">
        <v>142</v>
      </c>
      <c r="G357" s="115"/>
    </row>
    <row r="358" spans="1:16">
      <c r="A358" s="113" t="s">
        <v>448</v>
      </c>
      <c r="B358" s="113" t="s">
        <v>548</v>
      </c>
      <c r="C358" s="113" t="s">
        <v>131</v>
      </c>
      <c r="D358" s="113" t="s">
        <v>251</v>
      </c>
      <c r="E358" s="114" t="s">
        <v>542</v>
      </c>
      <c r="F358" s="114" t="s">
        <v>142</v>
      </c>
      <c r="G358" s="115"/>
    </row>
    <row r="359" spans="1:16">
      <c r="A359" s="113" t="s">
        <v>448</v>
      </c>
      <c r="B359" s="113" t="s">
        <v>549</v>
      </c>
      <c r="C359" s="113" t="s">
        <v>131</v>
      </c>
      <c r="D359" s="113" t="s">
        <v>132</v>
      </c>
      <c r="E359" s="114" t="s">
        <v>542</v>
      </c>
      <c r="F359" s="114" t="s">
        <v>142</v>
      </c>
      <c r="G359" s="115"/>
    </row>
    <row r="360" spans="1:16">
      <c r="A360" s="113" t="s">
        <v>448</v>
      </c>
      <c r="B360" s="113" t="s">
        <v>550</v>
      </c>
      <c r="C360" s="113" t="s">
        <v>136</v>
      </c>
      <c r="D360" s="113" t="s">
        <v>251</v>
      </c>
      <c r="E360" s="114" t="s">
        <v>257</v>
      </c>
      <c r="F360" s="114" t="s">
        <v>142</v>
      </c>
      <c r="G360" s="115"/>
    </row>
    <row r="361" spans="1:16" s="106" customFormat="1">
      <c r="A361" s="113" t="s">
        <v>448</v>
      </c>
      <c r="B361" s="113" t="s">
        <v>551</v>
      </c>
      <c r="C361" s="113" t="s">
        <v>136</v>
      </c>
      <c r="D361" s="113" t="s">
        <v>251</v>
      </c>
      <c r="E361" s="114" t="s">
        <v>257</v>
      </c>
      <c r="F361" s="114" t="s">
        <v>134</v>
      </c>
      <c r="G361" s="115"/>
      <c r="H361" s="104"/>
      <c r="I361" s="104"/>
      <c r="J361" s="104"/>
      <c r="K361" s="104"/>
      <c r="L361" s="104"/>
      <c r="M361" s="104"/>
      <c r="N361" s="104"/>
      <c r="O361" s="104"/>
      <c r="P361" s="104"/>
    </row>
    <row r="362" spans="1:16" s="106" customFormat="1">
      <c r="A362" s="113" t="s">
        <v>448</v>
      </c>
      <c r="B362" s="113" t="s">
        <v>552</v>
      </c>
      <c r="C362" s="113" t="s">
        <v>136</v>
      </c>
      <c r="D362" s="113" t="s">
        <v>251</v>
      </c>
      <c r="E362" s="114" t="s">
        <v>257</v>
      </c>
      <c r="F362" s="114" t="s">
        <v>134</v>
      </c>
      <c r="G362" s="115"/>
      <c r="H362" s="104"/>
      <c r="I362" s="104"/>
      <c r="J362" s="104"/>
      <c r="K362" s="104"/>
      <c r="L362" s="104"/>
      <c r="M362" s="104"/>
      <c r="N362" s="104"/>
      <c r="O362" s="104"/>
      <c r="P362" s="104"/>
    </row>
    <row r="363" spans="1:16" s="106" customFormat="1">
      <c r="A363" s="113" t="s">
        <v>448</v>
      </c>
      <c r="B363" s="113" t="s">
        <v>553</v>
      </c>
      <c r="C363" s="113" t="s">
        <v>136</v>
      </c>
      <c r="D363" s="113" t="s">
        <v>251</v>
      </c>
      <c r="E363" s="114" t="s">
        <v>257</v>
      </c>
      <c r="F363" s="114" t="s">
        <v>138</v>
      </c>
      <c r="G363" s="115"/>
      <c r="H363" s="104"/>
      <c r="I363" s="104"/>
      <c r="J363" s="104"/>
      <c r="K363" s="104"/>
      <c r="L363" s="104"/>
      <c r="M363" s="104"/>
      <c r="N363" s="104"/>
      <c r="O363" s="104"/>
      <c r="P363" s="104"/>
    </row>
    <row r="364" spans="1:16" s="106" customFormat="1">
      <c r="A364" s="113" t="s">
        <v>448</v>
      </c>
      <c r="B364" s="113" t="s">
        <v>554</v>
      </c>
      <c r="C364" s="113" t="s">
        <v>136</v>
      </c>
      <c r="D364" s="113" t="s">
        <v>251</v>
      </c>
      <c r="E364" s="114" t="s">
        <v>257</v>
      </c>
      <c r="F364" s="114" t="s">
        <v>138</v>
      </c>
      <c r="G364" s="115"/>
      <c r="H364" s="104"/>
      <c r="I364" s="104"/>
      <c r="J364" s="104"/>
      <c r="K364" s="104"/>
      <c r="L364" s="104"/>
      <c r="M364" s="104"/>
      <c r="N364" s="104"/>
      <c r="O364" s="104"/>
      <c r="P364" s="104"/>
    </row>
    <row r="365" spans="1:16" s="106" customFormat="1">
      <c r="A365" s="113" t="s">
        <v>448</v>
      </c>
      <c r="B365" s="113" t="s">
        <v>555</v>
      </c>
      <c r="C365" s="113" t="s">
        <v>136</v>
      </c>
      <c r="D365" s="113" t="s">
        <v>251</v>
      </c>
      <c r="E365" s="114" t="s">
        <v>257</v>
      </c>
      <c r="F365" s="114" t="s">
        <v>138</v>
      </c>
      <c r="G365" s="115"/>
      <c r="H365" s="104"/>
      <c r="I365" s="104"/>
      <c r="J365" s="104"/>
      <c r="K365" s="104"/>
      <c r="L365" s="104"/>
      <c r="M365" s="104"/>
      <c r="N365" s="104"/>
      <c r="O365" s="104"/>
      <c r="P365" s="104"/>
    </row>
    <row r="366" spans="1:16" s="106" customFormat="1">
      <c r="A366" s="113" t="s">
        <v>448</v>
      </c>
      <c r="B366" s="113" t="s">
        <v>556</v>
      </c>
      <c r="C366" s="113" t="s">
        <v>136</v>
      </c>
      <c r="D366" s="113" t="s">
        <v>251</v>
      </c>
      <c r="E366" s="114" t="s">
        <v>257</v>
      </c>
      <c r="F366" s="114" t="s">
        <v>138</v>
      </c>
      <c r="G366" s="115"/>
      <c r="H366" s="104"/>
      <c r="I366" s="104"/>
      <c r="J366" s="104"/>
      <c r="K366" s="104"/>
      <c r="L366" s="104"/>
      <c r="M366" s="104"/>
      <c r="N366" s="104"/>
      <c r="O366" s="104"/>
      <c r="P366" s="104"/>
    </row>
    <row r="367" spans="1:16" s="106" customFormat="1">
      <c r="A367" s="113" t="s">
        <v>448</v>
      </c>
      <c r="B367" s="113" t="s">
        <v>557</v>
      </c>
      <c r="C367" s="113" t="s">
        <v>136</v>
      </c>
      <c r="D367" s="113" t="s">
        <v>162</v>
      </c>
      <c r="E367" s="114" t="s">
        <v>257</v>
      </c>
      <c r="F367" s="114" t="s">
        <v>138</v>
      </c>
      <c r="G367" s="115" t="s">
        <v>151</v>
      </c>
      <c r="H367" s="104"/>
      <c r="I367" s="104"/>
      <c r="J367" s="104"/>
      <c r="K367" s="104"/>
      <c r="L367" s="104"/>
      <c r="M367" s="104"/>
      <c r="N367" s="104"/>
      <c r="O367" s="104"/>
      <c r="P367" s="104"/>
    </row>
    <row r="368" spans="1:16" s="106" customFormat="1">
      <c r="A368" s="104"/>
      <c r="B368" s="104"/>
      <c r="C368" s="104"/>
      <c r="D368" s="107"/>
      <c r="E368" s="107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</row>
    <row r="369" spans="1:16" s="106" customFormat="1">
      <c r="A369" s="104"/>
      <c r="B369" s="104"/>
      <c r="C369" s="104"/>
      <c r="D369" s="107"/>
      <c r="E369" s="108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</row>
    <row r="370" spans="1:16" s="106" customFormat="1">
      <c r="A370" s="104"/>
      <c r="B370" s="104"/>
      <c r="C370" s="104"/>
      <c r="D370" s="107"/>
      <c r="E370" s="108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</row>
    <row r="371" spans="1:16" s="106" customFormat="1">
      <c r="A371" s="104"/>
      <c r="B371" s="104"/>
      <c r="C371" s="104"/>
      <c r="D371" s="107"/>
      <c r="E371" s="109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</row>
    <row r="372" spans="1:16" s="106" customFormat="1">
      <c r="A372" s="104"/>
      <c r="B372" s="104"/>
      <c r="C372" s="104"/>
      <c r="D372" s="107"/>
      <c r="E372" s="109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</row>
    <row r="373" spans="1:16" s="106" customFormat="1">
      <c r="A373" s="104"/>
      <c r="B373" s="104"/>
      <c r="C373" s="104"/>
      <c r="D373" s="104"/>
      <c r="E373" s="109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</row>
    <row r="374" spans="1:16" s="106" customFormat="1">
      <c r="A374" s="104"/>
      <c r="B374" s="104"/>
      <c r="C374" s="104"/>
      <c r="D374" s="104"/>
      <c r="E374" s="109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</row>
    <row r="375" spans="1:16" s="106" customFormat="1">
      <c r="A375" s="104"/>
      <c r="B375" s="104"/>
      <c r="C375" s="104"/>
      <c r="D375" s="104"/>
      <c r="E375" s="109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</row>
    <row r="376" spans="1:16" s="106" customFormat="1">
      <c r="A376" s="104"/>
      <c r="B376" s="104"/>
      <c r="C376" s="104"/>
      <c r="D376" s="104"/>
      <c r="E376" s="109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</row>
    <row r="377" spans="1:16">
      <c r="E377" s="109"/>
    </row>
    <row r="378" spans="1:16">
      <c r="E378" s="109"/>
    </row>
    <row r="379" spans="1:16">
      <c r="E379" s="109"/>
    </row>
    <row r="380" spans="1:16">
      <c r="E380" s="109"/>
    </row>
    <row r="381" spans="1:16">
      <c r="E381" s="109"/>
    </row>
    <row r="382" spans="1:16">
      <c r="E382" s="109"/>
    </row>
  </sheetData>
  <pageMargins left="0.7" right="0.7" top="0.75" bottom="0.75" header="0.3" footer="0.3"/>
  <pageSetup orientation="portrait" r:id="rId2"/>
  <headerFooter>
    <oddFooter>&amp;C_x000D_&amp;1#&amp;"Calibri"&amp;8&amp;K000000 Sensitivity: Internal</oddFooter>
  </headerFooter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48D19-5B8E-417B-B67D-ABBE98FB98F1}">
  <sheetPr codeName="Sheet12"/>
  <dimension ref="A1:A56"/>
  <sheetViews>
    <sheetView workbookViewId="0">
      <selection activeCell="A14" sqref="A14"/>
    </sheetView>
  </sheetViews>
  <sheetFormatPr defaultRowHeight="13.2"/>
  <sheetData>
    <row r="1" spans="1:1">
      <c r="A1" s="6">
        <v>46023</v>
      </c>
    </row>
    <row r="2" spans="1:1">
      <c r="A2" s="6">
        <v>46054</v>
      </c>
    </row>
    <row r="3" spans="1:1">
      <c r="A3" s="6">
        <v>46082</v>
      </c>
    </row>
    <row r="4" spans="1:1">
      <c r="A4" s="6">
        <v>46113</v>
      </c>
    </row>
    <row r="5" spans="1:1">
      <c r="A5" s="6">
        <v>46143</v>
      </c>
    </row>
    <row r="6" spans="1:1">
      <c r="A6" s="6">
        <v>46174</v>
      </c>
    </row>
    <row r="7" spans="1:1">
      <c r="A7" s="6">
        <v>46204</v>
      </c>
    </row>
    <row r="8" spans="1:1">
      <c r="A8" s="6">
        <v>46235</v>
      </c>
    </row>
    <row r="9" spans="1:1">
      <c r="A9" s="6">
        <v>46266</v>
      </c>
    </row>
    <row r="10" spans="1:1">
      <c r="A10" s="6">
        <v>46296</v>
      </c>
    </row>
    <row r="11" spans="1:1">
      <c r="A11" s="6">
        <v>46327</v>
      </c>
    </row>
    <row r="12" spans="1:1">
      <c r="A12" s="6">
        <v>46357</v>
      </c>
    </row>
    <row r="13" spans="1:1">
      <c r="A13" s="6">
        <v>46388</v>
      </c>
    </row>
    <row r="14" spans="1:1">
      <c r="A14" s="6">
        <v>46419</v>
      </c>
    </row>
    <row r="15" spans="1:1">
      <c r="A15" s="6">
        <v>46447</v>
      </c>
    </row>
    <row r="16" spans="1:1">
      <c r="A16" s="6">
        <v>46478</v>
      </c>
    </row>
    <row r="17" spans="1:1">
      <c r="A17" s="6">
        <v>46508</v>
      </c>
    </row>
    <row r="18" spans="1:1">
      <c r="A18" s="6">
        <v>46539</v>
      </c>
    </row>
    <row r="19" spans="1:1">
      <c r="A19" s="6">
        <v>46569</v>
      </c>
    </row>
    <row r="20" spans="1:1">
      <c r="A20" s="6">
        <v>46600</v>
      </c>
    </row>
    <row r="21" spans="1:1">
      <c r="A21" s="6">
        <v>46631</v>
      </c>
    </row>
    <row r="22" spans="1:1">
      <c r="A22" s="6">
        <v>46661</v>
      </c>
    </row>
    <row r="23" spans="1:1">
      <c r="A23" s="6">
        <v>46692</v>
      </c>
    </row>
    <row r="24" spans="1:1">
      <c r="A24" s="6">
        <v>46722</v>
      </c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  <row r="56" spans="1:1">
      <c r="A56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7"/>
  <sheetViews>
    <sheetView workbookViewId="0">
      <selection activeCell="L12" sqref="L12"/>
    </sheetView>
  </sheetViews>
  <sheetFormatPr defaultRowHeight="13.2"/>
  <cols>
    <col min="1" max="1" width="4.21875" bestFit="1" customWidth="1"/>
    <col min="2" max="2" width="6.77734375" bestFit="1" customWidth="1"/>
    <col min="3" max="3" width="17.77734375" bestFit="1" customWidth="1"/>
    <col min="4" max="4" width="18.44140625" bestFit="1" customWidth="1"/>
    <col min="5" max="5" width="14.6640625" bestFit="1" customWidth="1"/>
    <col min="6" max="6" width="10.21875" bestFit="1" customWidth="1"/>
    <col min="7" max="7" width="19.21875" bestFit="1" customWidth="1"/>
    <col min="8" max="8" width="13.5546875" bestFit="1" customWidth="1"/>
  </cols>
  <sheetData>
    <row r="1" spans="1:8">
      <c r="A1" s="161"/>
      <c r="B1" s="162"/>
      <c r="C1" s="162"/>
      <c r="D1" s="162"/>
      <c r="E1" s="162"/>
      <c r="F1" s="162"/>
      <c r="G1" s="8" t="s">
        <v>72</v>
      </c>
      <c r="H1" s="8">
        <f ca="1">DAY(EOMONTH(TODAY(),-1))</f>
        <v>30</v>
      </c>
    </row>
    <row r="2" spans="1:8">
      <c r="A2" s="9" t="s">
        <v>0</v>
      </c>
      <c r="B2" s="9" t="s">
        <v>2</v>
      </c>
      <c r="C2" s="9" t="s">
        <v>49</v>
      </c>
      <c r="D2" s="9" t="s">
        <v>50</v>
      </c>
      <c r="E2" s="9" t="s">
        <v>9</v>
      </c>
      <c r="F2" s="10" t="s">
        <v>10</v>
      </c>
      <c r="G2" s="10" t="s">
        <v>51</v>
      </c>
      <c r="H2" s="10" t="s">
        <v>69</v>
      </c>
    </row>
    <row r="3" spans="1:8">
      <c r="A3" s="11">
        <v>1</v>
      </c>
      <c r="B3" s="11" t="s">
        <v>73</v>
      </c>
      <c r="C3" s="11">
        <f>'Dashboard-FAC'!H11+'Dashboard-FAC'!H12</f>
        <v>315</v>
      </c>
      <c r="D3" s="11">
        <f>'Dashboard-FAC'!I11+'Dashboard-FAC'!I12</f>
        <v>317</v>
      </c>
      <c r="E3" s="11">
        <v>400</v>
      </c>
      <c r="F3" s="12">
        <f>D3/E3</f>
        <v>0.79249999999999998</v>
      </c>
      <c r="G3" s="12">
        <f>100%-F3</f>
        <v>0.20750000000000002</v>
      </c>
      <c r="H3" s="13">
        <f ca="1">C3*24*$H$1</f>
        <v>226800</v>
      </c>
    </row>
    <row r="4" spans="1:8">
      <c r="A4" s="14">
        <v>2</v>
      </c>
      <c r="B4" s="14" t="s">
        <v>74</v>
      </c>
      <c r="C4" s="14">
        <f>'Dashboard-FAC'!H13+'Dashboard-FAC'!H14</f>
        <v>300</v>
      </c>
      <c r="D4" s="14">
        <f>'Dashboard-FAC'!I13+'Dashboard-FAC'!I14</f>
        <v>300</v>
      </c>
      <c r="E4" s="14">
        <v>400</v>
      </c>
      <c r="F4" s="15">
        <f>D4/E4</f>
        <v>0.75</v>
      </c>
      <c r="G4" s="15">
        <f>100%-F4</f>
        <v>0.25</v>
      </c>
      <c r="H4" s="16">
        <f ca="1">C4*24*$H$1</f>
        <v>216000</v>
      </c>
    </row>
    <row r="5" spans="1:8">
      <c r="A5" s="11">
        <v>3</v>
      </c>
      <c r="B5" s="11" t="s">
        <v>75</v>
      </c>
      <c r="C5" s="11">
        <v>41</v>
      </c>
      <c r="D5" s="11">
        <v>42</v>
      </c>
      <c r="E5" s="11">
        <v>120</v>
      </c>
      <c r="F5" s="12">
        <f>D5/E5</f>
        <v>0.35</v>
      </c>
      <c r="G5" s="12">
        <f>100%-F5</f>
        <v>0.65</v>
      </c>
      <c r="H5" s="13">
        <f ca="1">C5*24*$H$1</f>
        <v>29520</v>
      </c>
    </row>
    <row r="6" spans="1:8">
      <c r="A6" s="14">
        <v>4</v>
      </c>
      <c r="B6" s="14" t="s">
        <v>76</v>
      </c>
      <c r="C6" s="14">
        <v>112</v>
      </c>
      <c r="D6" s="14">
        <v>112</v>
      </c>
      <c r="E6" s="14">
        <v>400</v>
      </c>
      <c r="F6" s="15">
        <f>D6/E6</f>
        <v>0.28000000000000003</v>
      </c>
      <c r="G6" s="15">
        <f>100%-F6</f>
        <v>0.72</v>
      </c>
      <c r="H6" s="16">
        <f ca="1">C6*24*$H$1</f>
        <v>80640</v>
      </c>
    </row>
    <row r="7" spans="1:8">
      <c r="A7" s="14"/>
      <c r="B7" s="22" t="s">
        <v>77</v>
      </c>
      <c r="C7" s="17">
        <f>SUM(C3:C6)</f>
        <v>768</v>
      </c>
      <c r="D7" s="17">
        <f>SUM(D3:D6)</f>
        <v>771</v>
      </c>
      <c r="E7" s="18"/>
      <c r="F7" s="18"/>
      <c r="G7" s="18"/>
      <c r="H7" s="17">
        <f ca="1">SUM(H3:H6)</f>
        <v>552960</v>
      </c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Dashboard-FAC</vt:lpstr>
      <vt:lpstr>Sheet1</vt:lpstr>
      <vt:lpstr>Data Entry</vt:lpstr>
      <vt:lpstr>1. UPS Data Log</vt:lpstr>
      <vt:lpstr>2. Air Energy Consumption Log</vt:lpstr>
      <vt:lpstr>3. DC Data Log</vt:lpstr>
      <vt:lpstr>Month-Pick</vt:lpstr>
      <vt:lpstr>4. Electricity Cost Log</vt:lpstr>
      <vt:lpstr>PPC-Mapping</vt:lpstr>
      <vt:lpstr>Rack Capacity</vt:lpstr>
      <vt:lpstr>month</vt:lpstr>
      <vt:lpstr>Cal-UPS 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Wimonrath Promkulabut</dc:creator>
  <cp:lastModifiedBy>THEVASE PATAMIN</cp:lastModifiedBy>
  <dcterms:created xsi:type="dcterms:W3CDTF">2026-06-26T03:04:30Z</dcterms:created>
  <dcterms:modified xsi:type="dcterms:W3CDTF">2026-07-16T12:49:22Z</dcterms:modified>
</cp:coreProperties>
</file>